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cbb6d63cf1e423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238天开发工单" sheetId="1" r:id="R968286982b264aa8"/>
    <x:sheet xmlns:r="http://schemas.openxmlformats.org/officeDocument/2006/relationships" name="34周里程碑" sheetId="2" r:id="R61bd02e89fbf4b59"/>
    <x:sheet xmlns:r="http://schemas.openxmlformats.org/officeDocument/2006/relationships" name="34周并行训练" sheetId="3" r:id="Rb9bf7b079b0b45ae"/>
    <x:sheet xmlns:r="http://schemas.openxmlformats.org/officeDocument/2006/relationships" name="质量门禁与故障用例" sheetId="4" r:id="R5a565b0781e1406d"/>
    <x:sheet xmlns:r="http://schemas.openxmlformats.org/officeDocument/2006/relationships" name="AI评测实验台账" sheetId="5" r:id="Rd67e23a4d9d94fcd"/>
    <x:sheet xmlns:r="http://schemas.openxmlformats.org/officeDocument/2006/relationships" name="2028届实习投递" sheetId="6" r:id="Rc26d961a5aea4da2"/>
    <x:sheet xmlns:r="http://schemas.openxmlformats.org/officeDocument/2006/relationships" name="API与数据契约" sheetId="7" r:id="R2c768ec6f0854392"/>
    <x:sheet xmlns:r="http://schemas.openxmlformats.org/officeDocument/2006/relationships" name="版本说明与资料" sheetId="8" r:id="R0dc4e685a82f4438"/>
    <x:sheet xmlns:r="http://schemas.openxmlformats.org/officeDocument/2006/relationships" name="项目总览" sheetId="9" r:id="Ra768709f6c6f493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"/>
    <x:numFmt numFmtId="201" formatCode="0%"/>
    <x:numFmt numFmtId="202" formatCode="0.0%"/>
  </x:numFmts>
  <x:fonts count="5">
    <x:font>
      <x:sz val="11"/>
      <x:name val="Carlito"/>
    </x:font>
    <x:font>
      <x:b/>
      <x:sz val="10"/>
      <x:color rgb="FFFFFFFF"/>
      <x:name val="Carlito"/>
    </x:font>
    <x:font>
      <x:b/>
      <x:sz val="18"/>
      <x:color rgb="FFFFFFFF"/>
      <x:name val="Carlito"/>
    </x:font>
    <x:font>
      <x:b/>
      <x:sz val="11"/>
      <x:color rgb="FFFFFFFF"/>
      <x:name val="Carlito"/>
    </x:font>
    <x:font>
      <x:b/>
      <x:sz val="11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5324A"/>
      </x:patternFill>
    </x:fill>
    <x:fill>
      <x:patternFill patternType="solid">
        <x:fgColor rgb="FFFAFCFD"/>
      </x:patternFill>
    </x:fill>
    <x:fill>
      <x:patternFill patternType="solid">
        <x:fgColor rgb="FFEAF4F1"/>
      </x:patternFill>
    </x:fill>
    <x:fill>
      <x:patternFill patternType="solid">
        <x:fgColor rgb="FFFFF7E7"/>
      </x:patternFill>
    </x:fill>
    <x:fill>
      <x:patternFill patternType="solid">
        <x:fgColor rgb="FF0F766E"/>
      </x:patternFill>
    </x:fill>
  </x:fills>
  <x:borders count="2">
    <x:border/>
    <x:border/>
  </x:borders>
  <x:cellStyleXfs count="1">
    <x:xf numFmtId="0" fontId="0" fillId="0" borderId="0"/>
  </x:cellStyleXfs>
  <x:cellXfs count="3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center" wrapText="1"/>
    </x:xf>
    <x:xf numFmtId="200" fontId="0" fillId="3" borderId="0" xfId="0" applyNumberFormat="1" applyFont="1" applyFill="1" applyBorder="1" applyAlignment="1">
      <x:alignment vertical="center" wrapText="1"/>
    </x:xf>
    <x:xf numFmtId="0" fontId="0" fillId="3" borderId="0" xfId="0" applyNumberFormat="1" applyFont="1" applyFill="1" applyBorder="1" applyAlignment="1">
      <x:alignment vertical="center" wrapText="1"/>
    </x:xf>
    <x:xf numFmtId="200" fontId="0" fillId="3" borderId="1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 applyAlignment="1">
      <x:alignment vertical="center" wrapText="1"/>
    </x:xf>
    <x:xf numFmtId="201" fontId="0" fillId="0" borderId="0" xfId="0" applyNumberFormat="1" applyFont="1" applyFill="1" applyBorder="1" applyAlignment="1">
      <x:alignment vertical="center" wrapText="1"/>
    </x:xf>
    <x:xf numFmtId="201" fontId="0" fillId="0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 applyAlignment="1">
      <x:alignment vertical="center" wrapText="1"/>
    </x:xf>
    <x:xf numFmtId="0" fontId="0" fillId="4" borderId="1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 applyAlignment="1">
      <x:alignment vertical="center" wrapText="1"/>
    </x:xf>
    <x:xf numFmtId="0" fontId="0" fillId="5" borderId="1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vertical="center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0" fillId="6" borderId="1" xfId="0" applyNumberFormat="1" applyFont="1" applyFill="1" applyBorder="1"/>
    <x:xf numFmtId="0" fontId="3" fillId="6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0" fontId="4" fillId="0" borderId="0" xfId="0" applyNumberFormat="1" applyFont="1" applyFill="1" applyBorder="1"/>
    <x:xf numFmtId="0" fontId="4" fillId="0" borderId="1" xfId="0" applyNumberFormat="1" applyFont="1" applyFill="1" applyBorder="1"/>
  </x:cellXfs>
  <x:cellStyles count="1">
    <x:cellStyle name="Normal" xfId="0"/>
  </x:cellStyles>
  <x:dxfs count="4">
    <x:dxf>
      <x:font>
        <x:color rgb="FFA52221"/>
      </x:font>
      <x:fill>
        <x:patternFill patternType="solid">
          <x:bgColor rgb="FFFFE8E6"/>
        </x:patternFill>
      </x:fill>
    </x:dxf>
    <x:dxf>
      <x:font>
        <x:color rgb="FF17633F"/>
      </x:font>
      <x:fill>
        <x:patternFill patternType="solid">
          <x:bgColor rgb="FFDDF3E6"/>
        </x:patternFill>
      </x:fill>
    </x:dxf>
    <x:dxf>
      <x:font>
        <x:color rgb="FFA52221"/>
      </x:font>
      <x:fill>
        <x:patternFill patternType="solid">
          <x:bgColor rgb="FFFFE8E6"/>
        </x:patternFill>
      </x:fill>
    </x:dxf>
    <x:dxf>
      <x:font>
        <x:color rgb="FF9F1919"/>
      </x:font>
      <x:fill>
        <x:patternFill patternType="solid">
          <x:bgColor rgb="FFFFE8E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25d18f955e646a3" /><Relationship Type="http://schemas.openxmlformats.org/officeDocument/2006/relationships/theme" Target="/xl/theme/theme1.xml" Id="Ra82eac9774024188" /><Relationship Type="http://schemas.openxmlformats.org/officeDocument/2006/relationships/sharedStrings" Target="/xl/sharedStrings.xml" Id="R0c76d89026cc4af4" /><Relationship Type="http://schemas.openxmlformats.org/officeDocument/2006/relationships/worksheet" Target="/xl/worksheets/sheet1.xml" Id="R968286982b264aa8" /><Relationship Type="http://schemas.openxmlformats.org/officeDocument/2006/relationships/worksheet" Target="/xl/worksheets/sheet2.xml" Id="R61bd02e89fbf4b59" /><Relationship Type="http://schemas.openxmlformats.org/officeDocument/2006/relationships/worksheet" Target="/xl/worksheets/sheet3.xml" Id="Rb9bf7b079b0b45ae" /><Relationship Type="http://schemas.openxmlformats.org/officeDocument/2006/relationships/worksheet" Target="/xl/worksheets/sheet4.xml" Id="R5a565b0781e1406d" /><Relationship Type="http://schemas.openxmlformats.org/officeDocument/2006/relationships/worksheet" Target="/xl/worksheets/sheet5.xml" Id="Rd67e23a4d9d94fcd" /><Relationship Type="http://schemas.openxmlformats.org/officeDocument/2006/relationships/worksheet" Target="/xl/worksheets/sheet6.xml" Id="Rc26d961a5aea4da2" /><Relationship Type="http://schemas.openxmlformats.org/officeDocument/2006/relationships/worksheet" Target="/xl/worksheets/sheet7.xml" Id="R2c768ec6f0854392" /><Relationship Type="http://schemas.openxmlformats.org/officeDocument/2006/relationships/worksheet" Target="/xl/worksheets/sheet8.xml" Id="R0dc4e685a82f4438" /><Relationship Type="http://schemas.openxmlformats.org/officeDocument/2006/relationships/worksheet" Target="/xl/worksheets/sheet9.xml" Id="Ra768709f6c6f493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7" hidden="0" customWidth="1"/>
    <x:col min="2" max="2" width="13" hidden="0" customWidth="1"/>
    <x:col min="3" max="3" width="7" hidden="0" customWidth="1"/>
    <x:col min="4" max="4" width="14" hidden="0" customWidth="1"/>
    <x:col min="5" max="5" width="23" hidden="0" customWidth="1"/>
    <x:col min="6" max="6" width="11" hidden="0" customWidth="1"/>
    <x:col min="7" max="7" width="14" hidden="0" customWidth="1"/>
    <x:col min="8" max="8" width="66" hidden="0" customWidth="1"/>
    <x:col min="9" max="9" width="51" hidden="0" customWidth="1"/>
    <x:col min="10" max="10" width="65" hidden="0" customWidth="1"/>
    <x:col min="11" max="11" width="20" hidden="0" customWidth="1"/>
    <x:col min="12" max="12" width="50" hidden="0" customWidth="1"/>
    <x:col min="13" max="13" width="10" hidden="0" customWidth="1"/>
    <x:col min="14" max="14" width="10" hidden="0" customWidth="1"/>
    <x:col min="15" max="15" width="13" hidden="0" customWidth="1"/>
    <x:col min="16" max="16" width="13" hidden="0" customWidth="1"/>
    <x:col min="17" max="17" width="40" hidden="0" customWidth="1"/>
    <x:col min="18" max="18" width="40" hidden="0" customWidth="1"/>
    <x:col min="19" max="19" width="17" hidden="0" customWidth="1"/>
    <x:col min="20" max="20" width="17" hidden="0" customWidth="1"/>
    <x:col min="21" max="21" width="29" hidden="0" customWidth="1"/>
    <x:col min="22" max="22" width="35" hidden="0" customWidth="1"/>
    <x:col min="23" max="23" width="43" hidden="0" customWidth="1"/>
  </x:cols>
  <x:sheetData>
    <x:row r="1" ht="32" customHeight="1">
      <x:c r="A1" s="5" t="str">
        <x:v>周次</x:v>
      </x:c>
      <x:c r="B1" s="5" t="str">
        <x:v>计划日期</x:v>
      </x:c>
      <x:c r="C1" s="5" t="str">
        <x:v>星期</x:v>
      </x:c>
      <x:c r="D1" s="5" t="str">
        <x:v>工单ID</x:v>
      </x:c>
      <x:c r="E1" s="5" t="str">
        <x:v>阶段</x:v>
      </x:c>
      <x:c r="F1" s="5" t="str">
        <x:v>优先级</x:v>
      </x:c>
      <x:c r="G1" s="5" t="str">
        <x:v>任务类型</x:v>
      </x:c>
      <x:c r="H1" s="5" t="str">
        <x:v>开发任务（真实业务）</x:v>
      </x:c>
      <x:c r="I1" s="5" t="str">
        <x:v>交付代码/文档</x:v>
      </x:c>
      <x:c r="J1" s="5" t="str">
        <x:v>验收条件（含异常）</x:v>
      </x:c>
      <x:c r="K1" s="5" t="str">
        <x:v>风险聚焦</x:v>
      </x:c>
      <x:c r="L1" s="5" t="str">
        <x:v>AI使用边界</x:v>
      </x:c>
      <x:c r="M1" s="5" t="str">
        <x:v>预算h</x:v>
      </x:c>
      <x:c r="N1" s="5" t="str">
        <x:v>实际h</x:v>
      </x:c>
      <x:c r="O1" s="5" t="str">
        <x:v>开发状态</x:v>
      </x:c>
      <x:c r="P1" s="5" t="str">
        <x:v>验收结论</x:v>
      </x:c>
      <x:c r="Q1" s="5" t="str">
        <x:v>PR/代码/文档路径</x:v>
      </x:c>
      <x:c r="R1" s="5" t="str">
        <x:v>测试/复现证据</x:v>
      </x:c>
      <x:c r="S1" s="5" t="str">
        <x:v>证据门禁（自动）</x:v>
      </x:c>
      <x:c r="T1" s="5" t="str">
        <x:v>实际完成日期</x:v>
      </x:c>
      <x:c r="U1" s="5" t="str">
        <x:v>阻塞原因</x:v>
      </x:c>
      <x:c r="V1" s="5" t="str">
        <x:v>延期/范围变更说明</x:v>
      </x:c>
      <x:c r="W1" s="5" t="str">
        <x:v>并行训练提示</x:v>
      </x:c>
    </x:row>
    <x:row r="2" ht="45" customHeight="1">
      <x:c r="A2" s="11" t="n">
        <x:v>1</x:v>
      </x:c>
      <x:c r="B2" s="11" t="str">
        <x:v>2026-11-02</x:v>
      </x:c>
      <x:c r="C2" s="11" t="str">
        <x:v>一</x:v>
      </x:c>
      <x:c r="D2" s="11" t="str">
        <x:v>SC-0101</x:v>
      </x:c>
      <x:c r="E2" s="11" t="str">
        <x:v>Phase-01 立项与工程化</x:v>
      </x:c>
      <x:c r="F2" s="11" t="str">
        <x:v>Must</x:v>
      </x:c>
      <x:c r="G2" s="11" t="str">
        <x:v>设计/合同</x:v>
      </x:c>
      <x:c r="H2" s="11" t="str">
        <x:v>基于下单、售后、订单查询3条用户故事写出输入/输出、角色、业务不变量与不做范围，按Must/Should/Could标记需求</x:v>
      </x:c>
      <x:c r="I2" s="11" t="str">
        <x:v>docs/prd/README.md + docs/prd/non-goals.md</x:v>
      </x:c>
      <x:c r="J2" s="11" t="str">
        <x:v>每条故事至少1正常/2异常验收，明确订单/AI写操作边界</x:v>
      </x:c>
      <x:c r="K2" s="11" t="str">
        <x:v>接口异常/数据边界</x:v>
      </x:c>
      <x:c r="L2" s="11" t="str">
        <x:v>先独立列业务规则，再允许AI检查遗漏</x:v>
      </x:c>
      <x:c r="M2" s="14" t="n">
        <x:v>1.5</x:v>
      </x:c>
      <x:c r="N2" s="16"/>
      <x:c r="O2" s="17" t="str">
        <x:v>未开始</x:v>
      </x:c>
      <x:c r="P2" s="17" t="str">
        <x:v>待验收</x:v>
      </x:c>
      <x:c r="Q2" s="17"/>
      <x:c r="R2" s="17"/>
      <x:c r="S2" s="11" t="str">
        <x:f>IF(AND(O2="已完成",P2="通过",LEN(Q2)&gt;0,LEN(R2)&gt;0),"可计入",IF(O2="已取消","已取消","待证据"))</x:f>
        <x:v>待证据</x:v>
      </x:c>
      <x:c r="T2" s="11"/>
      <x:c r="U2" s="11"/>
      <x:c r="V2" s="11"/>
      <x:c r="W2" s="11" t="str">
        <x:v>算法：数组与哈希表</x:v>
      </x:c>
    </x:row>
    <x:row r="3" ht="45" customHeight="1">
      <x:c r="A3" s="11" t="n">
        <x:v>1</x:v>
      </x:c>
      <x:c r="B3" s="11" t="str">
        <x:v>2026-11-03</x:v>
      </x:c>
      <x:c r="C3" s="11" t="str">
        <x:v>二</x:v>
      </x:c>
      <x:c r="D3" s="11" t="str">
        <x:v>SC-0102</x:v>
      </x:c>
      <x:c r="E3" s="11" t="str">
        <x:v>Phase-01 立项与工程化</x:v>
      </x:c>
      <x:c r="F3" s="11" t="str">
        <x:v>Must</x:v>
      </x:c>
      <x:c r="G3" s="11" t="str">
        <x:v>开发/验证</x:v>
      </x:c>
      <x:c r="H3" s="11" t="str">
        <x:v>画C4上下文图与个人信息流向图，区分客户端、后台、第三方模型及知识库信任边界</x:v>
      </x:c>
      <x:c r="I3" s="11" t="str">
        <x:v>docs/architecture/context.md</x:v>
      </x:c>
      <x:c r="J3" s="11" t="str">
        <x:v>图中每条跨系统调用都有数据类型、认证方式和失败策略</x:v>
      </x:c>
      <x:c r="K3" s="11" t="str">
        <x:v>接口异常/数据边界</x:v>
      </x:c>
      <x:c r="L3" s="11" t="str">
        <x:v>不能把模型设为订单状态真值</x:v>
      </x:c>
      <x:c r="M3" s="14" t="n">
        <x:v>1.5</x:v>
      </x:c>
      <x:c r="N3" s="16"/>
      <x:c r="O3" s="17" t="str">
        <x:v>未开始</x:v>
      </x:c>
      <x:c r="P3" s="17" t="str">
        <x:v>待验收</x:v>
      </x:c>
      <x:c r="Q3" s="17"/>
      <x:c r="R3" s="17"/>
      <x:c r="S3" s="11" t="str">
        <x:f>IF(AND(O3="已完成",P3="通过",LEN(Q3)&gt;0,LEN(R3)&gt;0),"可计入",IF(O3="已取消","已取消","待证据"))</x:f>
        <x:v>待证据</x:v>
      </x:c>
      <x:c r="T3" s="11"/>
      <x:c r="U3" s="11"/>
      <x:c r="V3" s="11"/>
      <x:c r="W3" s="11" t="str">
        <x:v>基础：Java集合、hashCode/equals</x:v>
      </x:c>
    </x:row>
    <x:row r="4" ht="45" customHeight="1">
      <x:c r="A4" s="11" t="n">
        <x:v>1</x:v>
      </x:c>
      <x:c r="B4" s="11" t="str">
        <x:v>2026-11-04</x:v>
      </x:c>
      <x:c r="C4" s="11" t="str">
        <x:v>三</x:v>
      </x:c>
      <x:c r="D4" s="11" t="str">
        <x:v>SC-0103</x:v>
      </x:c>
      <x:c r="E4" s="11" t="str">
        <x:v>Phase-01 立项与工程化</x:v>
      </x:c>
      <x:c r="F4" s="11" t="str">
        <x:v>Must</x:v>
      </x:c>
      <x:c r="G4" s="11" t="str">
        <x:v>开发/验证</x:v>
      </x:c>
      <x:c r="H4" s="11" t="str">
        <x:v>创建Java21模块化单体仓库，锁定Spring Boot兼容版本并建立基础编译与测试流程</x:v>
      </x:c>
      <x:c r="I4" s="11" t="str">
        <x:v>pom.xml + .gitignore + src/</x:v>
      </x:c>
      <x:c r="J4" s="11" t="str">
        <x:v>全新工作目录执行./mvnw test通过并记录版本矩阵</x:v>
      </x:c>
      <x:c r="K4" s="11" t="str">
        <x:v>接口异常/数据边界</x:v>
      </x:c>
      <x:c r="L4" s="11" t="str">
        <x:v>手写依赖清单；AI只协助检索官方兼容信息</x:v>
      </x:c>
      <x:c r="M4" s="14" t="n">
        <x:v>1.5</x:v>
      </x:c>
      <x:c r="N4" s="16"/>
      <x:c r="O4" s="17" t="str">
        <x:v>未开始</x:v>
      </x:c>
      <x:c r="P4" s="17" t="str">
        <x:v>待验收</x:v>
      </x:c>
      <x:c r="Q4" s="17"/>
      <x:c r="R4" s="17"/>
      <x:c r="S4" s="11" t="str">
        <x:f>IF(AND(O4="已完成",P4="通过",LEN(Q4)&gt;0,LEN(R4)&gt;0),"可计入",IF(O4="已取消","已取消","待证据"))</x:f>
        <x:v>待证据</x:v>
      </x:c>
      <x:c r="T4" s="11"/>
      <x:c r="U4" s="11"/>
      <x:c r="V4" s="11"/>
      <x:c r="W4" s="11" t="str">
        <x:v>算法：数组与哈希表</x:v>
      </x:c>
    </x:row>
    <x:row r="5" ht="45" customHeight="1">
      <x:c r="A5" s="11" t="n">
        <x:v>1</x:v>
      </x:c>
      <x:c r="B5" s="11" t="str">
        <x:v>2026-11-05</x:v>
      </x:c>
      <x:c r="C5" s="11" t="str">
        <x:v>四</x:v>
      </x:c>
      <x:c r="D5" s="11" t="str">
        <x:v>SC-0104</x:v>
      </x:c>
      <x:c r="E5" s="11" t="str">
        <x:v>Phase-01 立项与工程化</x:v>
      </x:c>
      <x:c r="F5" s="11" t="str">
        <x:v>Must</x:v>
      </x:c>
      <x:c r="G5" s="11" t="str">
        <x:v>开发/验证</x:v>
      </x:c>
      <x:c r="H5" s="11" t="str">
        <x:v>实现统一错误契约、全局异常处理和requestId；敏感内部异常不可直接暴露</x:v>
      </x:c>
      <x:c r="I5" s="11" t="str">
        <x:v>common/api + docs/api/error-codes.md</x:v>
      </x:c>
      <x:c r="J5" s="11" t="str">
        <x:v>400/404/500有可回放请求、日志和测试</x:v>
      </x:c>
      <x:c r="K5" s="11" t="str">
        <x:v>接口异常/数据边界</x:v>
      </x:c>
      <x:c r="L5" s="11" t="str">
        <x:v>闭卷解释过滤器到异常处理链路</x:v>
      </x:c>
      <x:c r="M5" s="14" t="n">
        <x:v>1.5</x:v>
      </x:c>
      <x:c r="N5" s="16"/>
      <x:c r="O5" s="17" t="str">
        <x:v>未开始</x:v>
      </x:c>
      <x:c r="P5" s="17" t="str">
        <x:v>待验收</x:v>
      </x:c>
      <x:c r="Q5" s="17"/>
      <x:c r="R5" s="17"/>
      <x:c r="S5" s="11" t="str">
        <x:f>IF(AND(O5="已完成",P5="通过",LEN(Q5)&gt;0,LEN(R5)&gt;0),"可计入",IF(O5="已取消","已取消","待证据"))</x:f>
        <x:v>待证据</x:v>
      </x:c>
      <x:c r="T5" s="11"/>
      <x:c r="U5" s="11"/>
      <x:c r="V5" s="11"/>
      <x:c r="W5" s="11" t="str">
        <x:v>基础：Java集合、hashCode/equals</x:v>
      </x:c>
    </x:row>
    <x:row r="6" ht="45" customHeight="1">
      <x:c r="A6" s="11" t="n">
        <x:v>1</x:v>
      </x:c>
      <x:c r="B6" s="11" t="str">
        <x:v>2026-11-06</x:v>
      </x:c>
      <x:c r="C6" s="11" t="str">
        <x:v>五</x:v>
      </x:c>
      <x:c r="D6" s="11" t="str">
        <x:v>SC-0105</x:v>
      </x:c>
      <x:c r="E6" s="11" t="str">
        <x:v>Phase-01 立项与工程化</x:v>
      </x:c>
      <x:c r="F6" s="11" t="str">
        <x:v>Must</x:v>
      </x:c>
      <x:c r="G6" s="11" t="str">
        <x:v>开发/验证</x:v>
      </x:c>
      <x:c r="H6" s="11" t="str">
        <x:v>构建MySQL Compose、健康检查、数据卷、.env.example，最小权限账户和凭据扫描</x:v>
      </x:c>
      <x:c r="I6" s="11" t="str">
        <x:v>infra/compose.yaml + .env.example</x:v>
      </x:c>
      <x:c r="J6" s="11" t="str">
        <x:v>干净环境一键启动；Git历史不得出现密钥</x:v>
      </x:c>
      <x:c r="K6" s="11" t="str">
        <x:v>接口异常/数据边界</x:v>
      </x:c>
      <x:c r="L6" s="11" t="str">
        <x:v>使用虚构数据，严禁上传真实个人数据</x:v>
      </x:c>
      <x:c r="M6" s="14" t="n">
        <x:v>1</x:v>
      </x:c>
      <x:c r="N6" s="16"/>
      <x:c r="O6" s="17" t="str">
        <x:v>未开始</x:v>
      </x:c>
      <x:c r="P6" s="17" t="str">
        <x:v>待验收</x:v>
      </x:c>
      <x:c r="Q6" s="17"/>
      <x:c r="R6" s="17"/>
      <x:c r="S6" s="11" t="str">
        <x:f>IF(AND(O6="已完成",P6="通过",LEN(Q6)&gt;0,LEN(R6)&gt;0),"可计入",IF(O6="已取消","已取消","待证据"))</x:f>
        <x:v>待证据</x:v>
      </x:c>
      <x:c r="T6" s="11"/>
      <x:c r="U6" s="11"/>
      <x:c r="V6" s="11"/>
      <x:c r="W6" s="11" t="str">
        <x:v>算法：数组与哈希表</x:v>
      </x:c>
    </x:row>
    <x:row r="7" ht="45" customHeight="1">
      <x:c r="A7" s="11" t="n">
        <x:v>1</x:v>
      </x:c>
      <x:c r="B7" s="11" t="str">
        <x:v>2026-11-07</x:v>
      </x:c>
      <x:c r="C7" s="11" t="str">
        <x:v>六</x:v>
      </x:c>
      <x:c r="D7" s="11" t="str">
        <x:v>SC-0106</x:v>
      </x:c>
      <x:c r="E7" s="11" t="str">
        <x:v>Phase-01 立项与工程化</x:v>
      </x:c>
      <x:c r="F7" s="11" t="str">
        <x:v>Must</x:v>
      </x:c>
      <x:c r="G7" s="11" t="str">
        <x:v>开发/验证</x:v>
      </x:c>
      <x:c r="H7" s="11" t="str">
        <x:v>建立Issue、PR、ADR模版以及dev→review→merge的个人协作演练流程</x:v>
      </x:c>
      <x:c r="I7" s="11" t="str">
        <x:v>docs/team/working-agreement.md + .github/PULL_REQUEST_TEMPLATE.md</x:v>
      </x:c>
      <x:c r="J7" s="11" t="str">
        <x:v>模拟PR有变更说明、风险点、测试证据和回滚预案</x:v>
      </x:c>
      <x:c r="K7" s="11" t="str">
        <x:v>接口异常/数据边界</x:v>
      </x:c>
      <x:c r="L7" s="11" t="str">
        <x:v>AI仅审查；PR说明自己写</x:v>
      </x:c>
      <x:c r="M7" s="14" t="n">
        <x:v>2.5</x:v>
      </x:c>
      <x:c r="N7" s="16"/>
      <x:c r="O7" s="17" t="str">
        <x:v>未开始</x:v>
      </x:c>
      <x:c r="P7" s="17" t="str">
        <x:v>待验收</x:v>
      </x:c>
      <x:c r="Q7" s="17"/>
      <x:c r="R7" s="17"/>
      <x:c r="S7" s="11" t="str">
        <x:f>IF(AND(O7="已完成",P7="通过",LEN(Q7)&gt;0,LEN(R7)&gt;0),"可计入",IF(O7="已取消","已取消","待证据"))</x:f>
        <x:v>待证据</x:v>
      </x:c>
      <x:c r="T7" s="11"/>
      <x:c r="U7" s="11"/>
      <x:c r="V7" s="11"/>
      <x:c r="W7" s="11" t="str">
        <x:v>求职/返工缓冲或补测试</x:v>
      </x:c>
    </x:row>
    <x:row r="8" ht="45" customHeight="1">
      <x:c r="A8" s="11" t="n">
        <x:v>1</x:v>
      </x:c>
      <x:c r="B8" s="11" t="str">
        <x:v>2026-11-08</x:v>
      </x:c>
      <x:c r="C8" s="11" t="str">
        <x:v>日</x:v>
      </x:c>
      <x:c r="D8" s="11" t="str">
        <x:v>SC-0107</x:v>
      </x:c>
      <x:c r="E8" s="11" t="str">
        <x:v>Phase-01 立项与工程化</x:v>
      </x:c>
      <x:c r="F8" s="11" t="str">
        <x:v>Must</x:v>
      </x:c>
      <x:c r="G8" s="11" t="str">
        <x:v>缓冲/回归</x:v>
      </x:c>
      <x:c r="H8" s="11" t="str">
        <x:v>预留周缓冲：从零启动验证+修复阻塞；如全绿则复盘并记录技术债</x:v>
      </x:c>
      <x:c r="I8" s="11" t="str">
        <x:v>docs/reviews/week01.md</x:v>
      </x:c>
      <x:c r="J8" s="11" t="str">
        <x:v>保留复现命令和一条真实问题的关闭证据</x:v>
      </x:c>
      <x:c r="K8" s="11" t="str">
        <x:v>接口异常/数据边界</x:v>
      </x:c>
      <x:c r="L8" s="11" t="str">
        <x:v>缓冲任务可以延后，关键安全测试不跳过</x:v>
      </x:c>
      <x:c r="M8" s="14" t="n">
        <x:v>0.5</x:v>
      </x:c>
      <x:c r="N8" s="16"/>
      <x:c r="O8" s="17" t="str">
        <x:v>未开始</x:v>
      </x:c>
      <x:c r="P8" s="17" t="str">
        <x:v>待验收</x:v>
      </x:c>
      <x:c r="Q8" s="17"/>
      <x:c r="R8" s="17"/>
      <x:c r="S8" s="11" t="str">
        <x:f>IF(AND(O8="已完成",P8="通过",LEN(Q8)&gt;0,LEN(R8)&gt;0),"可计入",IF(O8="已取消","已取消","待证据"))</x:f>
        <x:v>待证据</x:v>
      </x:c>
      <x:c r="T8" s="11"/>
      <x:c r="U8" s="11"/>
      <x:c r="V8" s="11"/>
      <x:c r="W8" s="11" t="str">
        <x:v>周复盘+证据归档</x:v>
      </x:c>
    </x:row>
    <x:row r="9" ht="45" customHeight="1">
      <x:c r="A9" s="11" t="n">
        <x:v>2</x:v>
      </x:c>
      <x:c r="B9" s="11" t="str">
        <x:v>2026-11-09</x:v>
      </x:c>
      <x:c r="C9" s="11" t="str">
        <x:v>一</x:v>
      </x:c>
      <x:c r="D9" s="11" t="str">
        <x:v>SC-0201</x:v>
      </x:c>
      <x:c r="E9" s="11" t="str">
        <x:v>Phase-02 商品建模</x:v>
      </x:c>
      <x:c r="F9" s="11" t="str">
        <x:v>Must</x:v>
      </x:c>
      <x:c r="G9" s="11" t="str">
        <x:v>设计/合同</x:v>
      </x:c>
      <x:c r="H9" s="11" t="str">
        <x:v>从商品展示需求抽出SPU/SKU差异，先选单SKU商品并记录取舍</x:v>
      </x:c>
      <x:c r="I9" s="11" t="str">
        <x:v>docs/adr/0001-catalog-model.md</x:v>
      </x:c>
      <x:c r="J9" s="11" t="str">
        <x:v>模型范围能解释，避免无必要建模</x:v>
      </x:c>
      <x:c r="K9" s="11" t="str">
        <x:v>接口异常/数据边界</x:v>
      </x:c>
      <x:c r="L9" s="11" t="str">
        <x:v>核心路径先独立设计与实现；AI仅提示/审查，提交前能口述原理。</x:v>
      </x:c>
      <x:c r="M9" s="14" t="n">
        <x:v>1.5</x:v>
      </x:c>
      <x:c r="N9" s="16"/>
      <x:c r="O9" s="17" t="str">
        <x:v>未开始</x:v>
      </x:c>
      <x:c r="P9" s="17" t="str">
        <x:v>待验收</x:v>
      </x:c>
      <x:c r="Q9" s="17"/>
      <x:c r="R9" s="17"/>
      <x:c r="S9" s="11" t="str">
        <x:f>IF(AND(O9="已完成",P9="通过",LEN(Q9)&gt;0,LEN(R9)&gt;0),"可计入",IF(O9="已取消","已取消","待证据"))</x:f>
        <x:v>待证据</x:v>
      </x:c>
      <x:c r="T9" s="11"/>
      <x:c r="U9" s="11"/>
      <x:c r="V9" s="11"/>
      <x:c r="W9" s="11" t="str">
        <x:v>算法：双指针</x:v>
      </x:c>
    </x:row>
    <x:row r="10" ht="45" customHeight="1">
      <x:c r="A10" s="11" t="n">
        <x:v>2</x:v>
      </x:c>
      <x:c r="B10" s="11" t="str">
        <x:v>2026-11-10</x:v>
      </x:c>
      <x:c r="C10" s="11" t="str">
        <x:v>二</x:v>
      </x:c>
      <x:c r="D10" s="11" t="str">
        <x:v>SC-0202</x:v>
      </x:c>
      <x:c r="E10" s="11" t="str">
        <x:v>Phase-02 商品建模</x:v>
      </x:c>
      <x:c r="F10" s="11" t="str">
        <x:v>Must</x:v>
      </x:c>
      <x:c r="G10" s="11" t="str">
        <x:v>设计/合同</x:v>
      </x:c>
      <x:c r="H10" s="11" t="str">
        <x:v>设计商品SKU、分类与索引，确定单SKU范围，编写真实查询样例验证索引必要性</x:v>
      </x:c>
      <x:c r="I10" s="11" t="str">
        <x:v>docs/db/catalog-erd.md</x:v>
      </x:c>
      <x:c r="J10" s="11" t="str">
        <x:v>每个唯一/非空约束和索引对应业务不变量或查询</x:v>
      </x:c>
      <x:c r="K10" s="11" t="str">
        <x:v>接口异常/数据边界</x:v>
      </x:c>
      <x:c r="L10" s="11" t="str">
        <x:v>不要堆砌字段</x:v>
      </x:c>
      <x:c r="M10" s="14" t="n">
        <x:v>1.5</x:v>
      </x:c>
      <x:c r="N10" s="16"/>
      <x:c r="O10" s="17" t="str">
        <x:v>未开始</x:v>
      </x:c>
      <x:c r="P10" s="17" t="str">
        <x:v>待验收</x:v>
      </x:c>
      <x:c r="Q10" s="17"/>
      <x:c r="R10" s="17"/>
      <x:c r="S10" s="11" t="str">
        <x:f>IF(AND(O10="已完成",P10="通过",LEN(Q10)&gt;0,LEN(R10)&gt;0),"可计入",IF(O10="已取消","已取消","待证据"))</x:f>
        <x:v>待证据</x:v>
      </x:c>
      <x:c r="T10" s="11"/>
      <x:c r="U10" s="11"/>
      <x:c r="V10" s="11"/>
      <x:c r="W10" s="11" t="str">
        <x:v>基础：SQL查询优化、B+树索引</x:v>
      </x:c>
    </x:row>
    <x:row r="11" ht="45" customHeight="1">
      <x:c r="A11" s="11" t="n">
        <x:v>2</x:v>
      </x:c>
      <x:c r="B11" s="11" t="str">
        <x:v>2026-11-11</x:v>
      </x:c>
      <x:c r="C11" s="11" t="str">
        <x:v>三</x:v>
      </x:c>
      <x:c r="D11" s="11" t="str">
        <x:v>SC-0203</x:v>
      </x:c>
      <x:c r="E11" s="11" t="str">
        <x:v>Phase-02 商品建模</x:v>
      </x:c>
      <x:c r="F11" s="11" t="str">
        <x:v>Must</x:v>
      </x:c>
      <x:c r="G11" s="11" t="str">
        <x:v>开发/验证</x:v>
      </x:c>
      <x:c r="H11" s="11" t="str">
        <x:v>引入Flyway写V1建表迁移，初始化演示数据</x:v>
      </x:c>
      <x:c r="I11" s="11" t="str">
        <x:v>db/migration/V1__catalog.sql</x:v>
      </x:c>
      <x:c r="J11" s="11" t="str">
        <x:v>空库自动建表且重复启动不重复建表</x:v>
      </x:c>
      <x:c r="K11" s="11" t="str">
        <x:v>接口异常/数据边界</x:v>
      </x:c>
      <x:c r="L11" s="11" t="str">
        <x:v>核心路径先独立设计与实现；AI仅提示/审查，提交前能口述原理。</x:v>
      </x:c>
      <x:c r="M11" s="14" t="n">
        <x:v>1.5</x:v>
      </x:c>
      <x:c r="N11" s="16"/>
      <x:c r="O11" s="17" t="str">
        <x:v>未开始</x:v>
      </x:c>
      <x:c r="P11" s="17" t="str">
        <x:v>待验收</x:v>
      </x:c>
      <x:c r="Q11" s="17"/>
      <x:c r="R11" s="17"/>
      <x:c r="S11" s="11" t="str">
        <x:f>IF(AND(O11="已完成",P11="通过",LEN(Q11)&gt;0,LEN(R11)&gt;0),"可计入",IF(O11="已取消","已取消","待证据"))</x:f>
        <x:v>待证据</x:v>
      </x:c>
      <x:c r="T11" s="11"/>
      <x:c r="U11" s="11"/>
      <x:c r="V11" s="11"/>
      <x:c r="W11" s="11" t="str">
        <x:v>算法：双指针</x:v>
      </x:c>
    </x:row>
    <x:row r="12" ht="45" customHeight="1">
      <x:c r="A12" s="11" t="n">
        <x:v>2</x:v>
      </x:c>
      <x:c r="B12" s="11" t="str">
        <x:v>2026-11-12</x:v>
      </x:c>
      <x:c r="C12" s="11" t="str">
        <x:v>四</x:v>
      </x:c>
      <x:c r="D12" s="11" t="str">
        <x:v>SC-0204</x:v>
      </x:c>
      <x:c r="E12" s="11" t="str">
        <x:v>Phase-02 商品建模</x:v>
      </x:c>
      <x:c r="F12" s="11" t="str">
        <x:v>Must</x:v>
      </x:c>
      <x:c r="G12" s="11" t="str">
        <x:v>开发/验证</x:v>
      </x:c>
      <x:c r="H12" s="11" t="str">
        <x:v>写Product实体/DO、DTO与Mapper查询，禁止数据库对象直接暴露</x:v>
      </x:c>
      <x:c r="I12" s="11" t="str">
        <x:v>catalog/domain + mapper</x:v>
      </x:c>
      <x:c r="J12" s="11" t="str">
        <x:v>SQL参数绑定正确，无拼接注入</x:v>
      </x:c>
      <x:c r="K12" s="11" t="str">
        <x:v>接口异常/数据边界</x:v>
      </x:c>
      <x:c r="L12" s="11" t="str">
        <x:v>核心路径先独立设计与实现；AI仅提示/审查，提交前能口述原理。</x:v>
      </x:c>
      <x:c r="M12" s="14" t="n">
        <x:v>1.5</x:v>
      </x:c>
      <x:c r="N12" s="16"/>
      <x:c r="O12" s="17" t="str">
        <x:v>未开始</x:v>
      </x:c>
      <x:c r="P12" s="17" t="str">
        <x:v>待验收</x:v>
      </x:c>
      <x:c r="Q12" s="17"/>
      <x:c r="R12" s="17"/>
      <x:c r="S12" s="11" t="str">
        <x:f>IF(AND(O12="已完成",P12="通过",LEN(Q12)&gt;0,LEN(R12)&gt;0),"可计入",IF(O12="已取消","已取消","待证据"))</x:f>
        <x:v>待证据</x:v>
      </x:c>
      <x:c r="T12" s="11"/>
      <x:c r="U12" s="11"/>
      <x:c r="V12" s="11"/>
      <x:c r="W12" s="11" t="str">
        <x:v>基础：SQL查询优化、B+树索引</x:v>
      </x:c>
    </x:row>
    <x:row r="13" ht="45" customHeight="1">
      <x:c r="A13" s="11" t="n">
        <x:v>2</x:v>
      </x:c>
      <x:c r="B13" s="11" t="str">
        <x:v>2026-11-13</x:v>
      </x:c>
      <x:c r="C13" s="11" t="str">
        <x:v>五</x:v>
      </x:c>
      <x:c r="D13" s="11" t="str">
        <x:v>SC-0205</x:v>
      </x:c>
      <x:c r="E13" s="11" t="str">
        <x:v>Phase-02 商品建模</x:v>
      </x:c>
      <x:c r="F13" s="11" t="str">
        <x:v>Must</x:v>
      </x:c>
      <x:c r="G13" s="11" t="str">
        <x:v>开发/验证</x:v>
      </x:c>
      <x:c r="H13" s="11" t="str">
        <x:v>实现GET /api/v1/products/{id}与GET /api/v1/products，规定稳定排序与页大小上限</x:v>
      </x:c>
      <x:c r="I13" s="11" t="str">
        <x:v>catalog/api + tests/api/catalog.http</x:v>
      </x:c>
      <x:c r="J13" s="11" t="str">
        <x:v>404、分页边界、下架过滤、排序稳定通过</x:v>
      </x:c>
      <x:c r="K13" s="11" t="str">
        <x:v>接口异常/数据边界</x:v>
      </x:c>
      <x:c r="L13" s="11" t="str">
        <x:v>本阶段自己写Service与Mapper</x:v>
      </x:c>
      <x:c r="M13" s="14" t="n">
        <x:v>1</x:v>
      </x:c>
      <x:c r="N13" s="16"/>
      <x:c r="O13" s="17" t="str">
        <x:v>未开始</x:v>
      </x:c>
      <x:c r="P13" s="17" t="str">
        <x:v>待验收</x:v>
      </x:c>
      <x:c r="Q13" s="17"/>
      <x:c r="R13" s="17"/>
      <x:c r="S13" s="11" t="str">
        <x:f>IF(AND(O13="已完成",P13="通过",LEN(Q13)&gt;0,LEN(R13)&gt;0),"可计入",IF(O13="已取消","已取消","待证据"))</x:f>
        <x:v>待证据</x:v>
      </x:c>
      <x:c r="T13" s="11"/>
      <x:c r="U13" s="11"/>
      <x:c r="V13" s="11"/>
      <x:c r="W13" s="11" t="str">
        <x:v>算法：双指针</x:v>
      </x:c>
    </x:row>
    <x:row r="14" ht="45" customHeight="1">
      <x:c r="A14" s="11" t="n">
        <x:v>2</x:v>
      </x:c>
      <x:c r="B14" s="11" t="str">
        <x:v>2026-11-14</x:v>
      </x:c>
      <x:c r="C14" s="11" t="str">
        <x:v>六</x:v>
      </x:c>
      <x:c r="D14" s="11" t="str">
        <x:v>SC-0206</x:v>
      </x:c>
      <x:c r="E14" s="11" t="str">
        <x:v>Phase-02 商品建模</x:v>
      </x:c>
      <x:c r="F14" s="11" t="str">
        <x:v>Must</x:v>
      </x:c>
      <x:c r="G14" s="11" t="str">
        <x:v>开发/验证</x:v>
      </x:c>
      <x:c r="H14" s="11" t="str">
        <x:v>编写MySQL集成测试验证约束和分页顺序</x:v>
      </x:c>
      <x:c r="I14" s="11" t="str">
        <x:v>CatalogRepositoryIT</x:v>
      </x:c>
      <x:c r="J14" s="11" t="str">
        <x:v>重复SKU编码被唯一约束拒绝</x:v>
      </x:c>
      <x:c r="K14" s="11" t="str">
        <x:v>接口异常/数据边界</x:v>
      </x:c>
      <x:c r="L14" s="11" t="str">
        <x:v>核心路径先独立设计与实现；AI仅提示/审查，提交前能口述原理。</x:v>
      </x:c>
      <x:c r="M14" s="14" t="n">
        <x:v>2.5</x:v>
      </x:c>
      <x:c r="N14" s="16"/>
      <x:c r="O14" s="17" t="str">
        <x:v>未开始</x:v>
      </x:c>
      <x:c r="P14" s="17" t="str">
        <x:v>待验收</x:v>
      </x:c>
      <x:c r="Q14" s="17"/>
      <x:c r="R14" s="17"/>
      <x:c r="S14" s="11" t="str">
        <x:f>IF(AND(O14="已完成",P14="通过",LEN(Q14)&gt;0,LEN(R14)&gt;0),"可计入",IF(O14="已取消","已取消","待证据"))</x:f>
        <x:v>待证据</x:v>
      </x:c>
      <x:c r="T14" s="11"/>
      <x:c r="U14" s="11"/>
      <x:c r="V14" s="11"/>
      <x:c r="W14" s="11" t="str">
        <x:v>求职/返工缓冲或补测试</x:v>
      </x:c>
    </x:row>
    <x:row r="15" ht="45" customHeight="1">
      <x:c r="A15" s="11" t="n">
        <x:v>2</x:v>
      </x:c>
      <x:c r="B15" s="11" t="str">
        <x:v>2026-11-15</x:v>
      </x:c>
      <x:c r="C15" s="11" t="str">
        <x:v>日</x:v>
      </x:c>
      <x:c r="D15" s="11" t="str">
        <x:v>SC-0207</x:v>
      </x:c>
      <x:c r="E15" s="11" t="str">
        <x:v>Phase-02 商品建模</x:v>
      </x:c>
      <x:c r="F15" s="11" t="str">
        <x:v>Must</x:v>
      </x:c>
      <x:c r="G15" s="11" t="str">
        <x:v>缓冲/回归</x:v>
      </x:c>
      <x:c r="H15" s="11" t="str">
        <x:v>周缓冲：验证Flyway从空库重建、索引决策和PR自审；集中修复数据模型阻塞</x:v>
      </x:c>
      <x:c r="I15" s="11" t="str">
        <x:v>docs/adr/0002-index.md</x:v>
      </x:c>
      <x:c r="J15" s="11" t="str">
        <x:v>每项索引对应查询条件而非盲目添加</x:v>
      </x:c>
      <x:c r="K15" s="11" t="str">
        <x:v>接口异常/数据边界</x:v>
      </x:c>
      <x:c r="L15" s="11" t="str">
        <x:v>核心路径先独立设计与实现；AI仅提示/审查，提交前能口述原理。</x:v>
      </x:c>
      <x:c r="M15" s="14" t="n">
        <x:v>0.5</x:v>
      </x:c>
      <x:c r="N15" s="16"/>
      <x:c r="O15" s="17" t="str">
        <x:v>未开始</x:v>
      </x:c>
      <x:c r="P15" s="17" t="str">
        <x:v>待验收</x:v>
      </x:c>
      <x:c r="Q15" s="17"/>
      <x:c r="R15" s="17"/>
      <x:c r="S15" s="11" t="str">
        <x:f>IF(AND(O15="已完成",P15="通过",LEN(Q15)&gt;0,LEN(R15)&gt;0),"可计入",IF(O15="已取消","已取消","待证据"))</x:f>
        <x:v>待证据</x:v>
      </x:c>
      <x:c r="T15" s="11"/>
      <x:c r="U15" s="11"/>
      <x:c r="V15" s="11"/>
      <x:c r="W15" s="11" t="str">
        <x:v>周复盘+证据归档</x:v>
      </x:c>
    </x:row>
    <x:row r="16" ht="45" customHeight="1">
      <x:c r="A16" s="11" t="n">
        <x:v>3</x:v>
      </x:c>
      <x:c r="B16" s="11" t="str">
        <x:v>2026-11-16</x:v>
      </x:c>
      <x:c r="C16" s="11" t="str">
        <x:v>一</x:v>
      </x:c>
      <x:c r="D16" s="11" t="str">
        <x:v>SC-0301</x:v>
      </x:c>
      <x:c r="E16" s="11" t="str">
        <x:v>Phase-03 商品接口</x:v>
      </x:c>
      <x:c r="F16" s="11" t="str">
        <x:v>Must</x:v>
      </x:c>
      <x:c r="G16" s="11" t="str">
        <x:v>设计/合同</x:v>
      </x:c>
      <x:c r="H16" s="11" t="str">
        <x:v>实现POST /api/v1/admin/products：DTO参数校验，价格服务端校验与权限预留</x:v>
      </x:c>
      <x:c r="I16" s="11" t="str">
        <x:v>catalog/api/ProductAdminController</x:v>
      </x:c>
      <x:c r="J16" s="11" t="str">
        <x:v>空标题、负价格、超长输入返回合约错误</x:v>
      </x:c>
      <x:c r="K16" s="11" t="str">
        <x:v>接口异常/数据边界</x:v>
      </x:c>
      <x:c r="L16" s="11" t="str">
        <x:v>重点独立手写DTO和校验</x:v>
      </x:c>
      <x:c r="M16" s="14" t="n">
        <x:v>1.5</x:v>
      </x:c>
      <x:c r="N16" s="16"/>
      <x:c r="O16" s="17" t="str">
        <x:v>未开始</x:v>
      </x:c>
      <x:c r="P16" s="17" t="str">
        <x:v>待验收</x:v>
      </x:c>
      <x:c r="Q16" s="17"/>
      <x:c r="R16" s="17"/>
      <x:c r="S16" s="11" t="str">
        <x:f>IF(AND(O16="已完成",P16="通过",LEN(Q16)&gt;0,LEN(R16)&gt;0),"可计入",IF(O16="已取消","已取消","待证据"))</x:f>
        <x:v>待证据</x:v>
      </x:c>
      <x:c r="T16" s="11"/>
      <x:c r="U16" s="11"/>
      <x:c r="V16" s="11"/>
      <x:c r="W16" s="11" t="str">
        <x:v>算法：栈与队列</x:v>
      </x:c>
    </x:row>
    <x:row r="17" ht="45" customHeight="1">
      <x:c r="A17" s="11" t="n">
        <x:v>3</x:v>
      </x:c>
      <x:c r="B17" s="11" t="str">
        <x:v>2026-11-17</x:v>
      </x:c>
      <x:c r="C17" s="11" t="str">
        <x:v>二</x:v>
      </x:c>
      <x:c r="D17" s="11" t="str">
        <x:v>SC-0302</x:v>
      </x:c>
      <x:c r="E17" s="11" t="str">
        <x:v>Phase-03 商品接口</x:v>
      </x:c>
      <x:c r="F17" s="11" t="str">
        <x:v>Must</x:v>
      </x:c>
      <x:c r="G17" s="11" t="str">
        <x:v>开发/验证</x:v>
      </x:c>
      <x:c r="H17" s="11" t="str">
        <x:v>实现PATCH /api/v1/admin/products/{id}，限制可修改字段并避免覆盖未提交字段</x:v>
      </x:c>
      <x:c r="I17" s="11" t="str">
        <x:v>catalog/application/ProductCommandService</x:v>
      </x:c>
      <x:c r="J17" s="11" t="str">
        <x:v>未授权字段不能修改；不存在404</x:v>
      </x:c>
      <x:c r="K17" s="11" t="str">
        <x:v>接口异常/数据边界</x:v>
      </x:c>
      <x:c r="L17" s="11" t="str">
        <x:v>先设计负向用例</x:v>
      </x:c>
      <x:c r="M17" s="14" t="n">
        <x:v>1.5</x:v>
      </x:c>
      <x:c r="N17" s="16"/>
      <x:c r="O17" s="17" t="str">
        <x:v>未开始</x:v>
      </x:c>
      <x:c r="P17" s="17" t="str">
        <x:v>待验收</x:v>
      </x:c>
      <x:c r="Q17" s="17"/>
      <x:c r="R17" s="17"/>
      <x:c r="S17" s="11" t="str">
        <x:f>IF(AND(O17="已完成",P17="通过",LEN(Q17)&gt;0,LEN(R17)&gt;0),"可计入",IF(O17="已取消","已取消","待证据"))</x:f>
        <x:v>待证据</x:v>
      </x:c>
      <x:c r="T17" s="11"/>
      <x:c r="U17" s="11"/>
      <x:c r="V17" s="11"/>
      <x:c r="W17" s="11" t="str">
        <x:v>基础：HTTP请求链路、MVC、异常处理</x:v>
      </x:c>
    </x:row>
    <x:row r="18" ht="45" customHeight="1">
      <x:c r="A18" s="11" t="n">
        <x:v>3</x:v>
      </x:c>
      <x:c r="B18" s="11" t="str">
        <x:v>2026-11-18</x:v>
      </x:c>
      <x:c r="C18" s="11" t="str">
        <x:v>三</x:v>
      </x:c>
      <x:c r="D18" s="11" t="str">
        <x:v>SC-0303</x:v>
      </x:c>
      <x:c r="E18" s="11" t="str">
        <x:v>Phase-03 商品接口</x:v>
      </x:c>
      <x:c r="F18" s="11" t="str">
        <x:v>Must</x:v>
      </x:c>
      <x:c r="G18" s="11" t="str">
        <x:v>开发/验证</x:v>
      </x:c>
      <x:c r="H18" s="11" t="str">
        <x:v>实现商品上架/下架状态迁移并拒绝非法转移</x:v>
      </x:c>
      <x:c r="I18" s="11" t="str">
        <x:v>PublishProductUseCase</x:v>
      </x:c>
      <x:c r="J18" s="11" t="str">
        <x:v>下架商品不能进入用户可购买列表</x:v>
      </x:c>
      <x:c r="K18" s="11" t="str">
        <x:v>接口异常/数据边界</x:v>
      </x:c>
      <x:c r="L18" s="11" t="str">
        <x:v>核心路径先独立设计与实现；AI仅提示/审查，提交前能口述原理。</x:v>
      </x:c>
      <x:c r="M18" s="14" t="n">
        <x:v>1.5</x:v>
      </x:c>
      <x:c r="N18" s="16"/>
      <x:c r="O18" s="17" t="str">
        <x:v>未开始</x:v>
      </x:c>
      <x:c r="P18" s="17" t="str">
        <x:v>待验收</x:v>
      </x:c>
      <x:c r="Q18" s="17"/>
      <x:c r="R18" s="17"/>
      <x:c r="S18" s="11" t="str">
        <x:f>IF(AND(O18="已完成",P18="通过",LEN(Q18)&gt;0,LEN(R18)&gt;0),"可计入",IF(O18="已取消","已取消","待证据"))</x:f>
        <x:v>待证据</x:v>
      </x:c>
      <x:c r="T18" s="11"/>
      <x:c r="U18" s="11"/>
      <x:c r="V18" s="11"/>
      <x:c r="W18" s="11" t="str">
        <x:v>算法：栈与队列</x:v>
      </x:c>
    </x:row>
    <x:row r="19" ht="45" customHeight="1">
      <x:c r="A19" s="11" t="n">
        <x:v>3</x:v>
      </x:c>
      <x:c r="B19" s="11" t="str">
        <x:v>2026-11-19</x:v>
      </x:c>
      <x:c r="C19" s="11" t="str">
        <x:v>四</x:v>
      </x:c>
      <x:c r="D19" s="11" t="str">
        <x:v>SC-0304</x:v>
      </x:c>
      <x:c r="E19" s="11" t="str">
        <x:v>Phase-03 商品接口</x:v>
      </x:c>
      <x:c r="F19" s="11" t="str">
        <x:v>Must</x:v>
      </x:c>
      <x:c r="G19" s="11" t="str">
        <x:v>开发/验证</x:v>
      </x:c>
      <x:c r="H19" s="11" t="str">
        <x:v>生成OpenAPI文档，统一错误码并给至少3个示例</x:v>
      </x:c>
      <x:c r="I19" s="11" t="str">
        <x:v>docs/api/openapi.yaml</x:v>
      </x:c>
      <x:c r="J19" s="11" t="str">
        <x:v>接口契约与真实返回一致</x:v>
      </x:c>
      <x:c r="K19" s="11" t="str">
        <x:v>接口异常/数据边界</x:v>
      </x:c>
      <x:c r="L19" s="11" t="str">
        <x:v>核心路径先独立设计与实现；AI仅提示/审查，提交前能口述原理。</x:v>
      </x:c>
      <x:c r="M19" s="14" t="n">
        <x:v>1.5</x:v>
      </x:c>
      <x:c r="N19" s="16"/>
      <x:c r="O19" s="17" t="str">
        <x:v>未开始</x:v>
      </x:c>
      <x:c r="P19" s="17" t="str">
        <x:v>待验收</x:v>
      </x:c>
      <x:c r="Q19" s="17"/>
      <x:c r="R19" s="17"/>
      <x:c r="S19" s="11" t="str">
        <x:f>IF(AND(O19="已完成",P19="通过",LEN(Q19)&gt;0,LEN(R19)&gt;0),"可计入",IF(O19="已取消","已取消","待证据"))</x:f>
        <x:v>待证据</x:v>
      </x:c>
      <x:c r="T19" s="11"/>
      <x:c r="U19" s="11"/>
      <x:c r="V19" s="11"/>
      <x:c r="W19" s="11" t="str">
        <x:v>基础：HTTP请求链路、MVC、异常处理</x:v>
      </x:c>
    </x:row>
    <x:row r="20" ht="45" customHeight="1">
      <x:c r="A20" s="11" t="n">
        <x:v>3</x:v>
      </x:c>
      <x:c r="B20" s="11" t="str">
        <x:v>2026-11-20</x:v>
      </x:c>
      <x:c r="C20" s="11" t="str">
        <x:v>五</x:v>
      </x:c>
      <x:c r="D20" s="11" t="str">
        <x:v>SC-0305</x:v>
      </x:c>
      <x:c r="E20" s="11" t="str">
        <x:v>Phase-03 商品接口</x:v>
      </x:c>
      <x:c r="F20" s="11" t="str">
        <x:v>Must</x:v>
      </x:c>
      <x:c r="G20" s="11" t="str">
        <x:v>开发/验证</x:v>
      </x:c>
      <x:c r="H20" s="11" t="str">
        <x:v>人工使用curl/Postman完成边界测试，记录发现的两个问题</x:v>
      </x:c>
      <x:c r="I20" s="11" t="str">
        <x:v>tests/manual/catalog.http</x:v>
      </x:c>
      <x:c r="J20" s="11" t="str">
        <x:v>请求可重复运行并有实际结果</x:v>
      </x:c>
      <x:c r="K20" s="11" t="str">
        <x:v>接口异常/数据边界</x:v>
      </x:c>
      <x:c r="L20" s="11" t="str">
        <x:v>独立验收时使用L0/L1；AI只在验收后做复盘。</x:v>
      </x:c>
      <x:c r="M20" s="14" t="n">
        <x:v>1</x:v>
      </x:c>
      <x:c r="N20" s="16"/>
      <x:c r="O20" s="17" t="str">
        <x:v>未开始</x:v>
      </x:c>
      <x:c r="P20" s="17" t="str">
        <x:v>待验收</x:v>
      </x:c>
      <x:c r="Q20" s="17"/>
      <x:c r="R20" s="17"/>
      <x:c r="S20" s="11" t="str">
        <x:f>IF(AND(O20="已完成",P20="通过",LEN(Q20)&gt;0,LEN(R20)&gt;0),"可计入",IF(O20="已取消","已取消","待证据"))</x:f>
        <x:v>待证据</x:v>
      </x:c>
      <x:c r="T20" s="11"/>
      <x:c r="U20" s="11"/>
      <x:c r="V20" s="11"/>
      <x:c r="W20" s="11" t="str">
        <x:v>算法：栈与队列</x:v>
      </x:c>
    </x:row>
    <x:row r="21" ht="45" customHeight="1">
      <x:c r="A21" s="11" t="n">
        <x:v>3</x:v>
      </x:c>
      <x:c r="B21" s="11" t="str">
        <x:v>2026-11-21</x:v>
      </x:c>
      <x:c r="C21" s="11" t="str">
        <x:v>六</x:v>
      </x:c>
      <x:c r="D21" s="11" t="str">
        <x:v>SC-0306</x:v>
      </x:c>
      <x:c r="E21" s="11" t="str">
        <x:v>Phase-03 商品接口</x:v>
      </x:c>
      <x:c r="F21" s="11" t="str">
        <x:v>Must</x:v>
      </x:c>
      <x:c r="G21" s="11" t="str">
        <x:v>开发/验证</x:v>
      </x:c>
      <x:c r="H21" s="11" t="str">
        <x:v>通过JUnit/Mockito测试Controller与Service关键分支</x:v>
      </x:c>
      <x:c r="I21" s="11" t="str">
        <x:v>CatalogServiceTest</x:v>
      </x:c>
      <x:c r="J21" s="11" t="str">
        <x:v>覆盖正常、404、非法状态三类分支</x:v>
      </x:c>
      <x:c r="K21" s="11" t="str">
        <x:v>接口异常/数据边界</x:v>
      </x:c>
      <x:c r="L21" s="11" t="str">
        <x:v>核心路径先独立设计与实现；AI仅提示/审查，提交前能口述原理。</x:v>
      </x:c>
      <x:c r="M21" s="14" t="n">
        <x:v>2.5</x:v>
      </x:c>
      <x:c r="N21" s="16"/>
      <x:c r="O21" s="17" t="str">
        <x:v>未开始</x:v>
      </x:c>
      <x:c r="P21" s="17" t="str">
        <x:v>待验收</x:v>
      </x:c>
      <x:c r="Q21" s="17"/>
      <x:c r="R21" s="17"/>
      <x:c r="S21" s="11" t="str">
        <x:f>IF(AND(O21="已完成",P21="通过",LEN(Q21)&gt;0,LEN(R21)&gt;0),"可计入",IF(O21="已取消","已取消","待证据"))</x:f>
        <x:v>待证据</x:v>
      </x:c>
      <x:c r="T21" s="11"/>
      <x:c r="U21" s="11"/>
      <x:c r="V21" s="11"/>
      <x:c r="W21" s="11" t="str">
        <x:v>求职/返工缓冲或补测试</x:v>
      </x:c>
    </x:row>
    <x:row r="22" ht="45" customHeight="1">
      <x:c r="A22" s="11" t="n">
        <x:v>3</x:v>
      </x:c>
      <x:c r="B22" s="11" t="str">
        <x:v>2026-11-22</x:v>
      </x:c>
      <x:c r="C22" s="11" t="str">
        <x:v>日</x:v>
      </x:c>
      <x:c r="D22" s="11" t="str">
        <x:v>SC-0307</x:v>
      </x:c>
      <x:c r="E22" s="11" t="str">
        <x:v>Phase-03 商品接口</x:v>
      </x:c>
      <x:c r="F22" s="11" t="str">
        <x:v>Must</x:v>
      </x:c>
      <x:c r="G22" s="11" t="str">
        <x:v>缓冲/回归</x:v>
      </x:c>
      <x:c r="H22" s="11" t="str">
        <x:v>缓冲兼无AI验收：独立增加商品搜索条件，提交失败测试→修复→PR</x:v>
      </x:c>
      <x:c r="I22" s="11" t="str">
        <x:v>docs/reviews/week03.md + 代码</x:v>
      </x:c>
      <x:c r="J22" s="11" t="str">
        <x:v>90分钟独立完成；记录卡住位置和AI求助次数</x:v>
      </x:c>
      <x:c r="K22" s="11" t="str">
        <x:v>接口异常/数据边界</x:v>
      </x:c>
      <x:c r="L22" s="11" t="str">
        <x:v>本日L0闭卷，不能让AI代写</x:v>
      </x:c>
      <x:c r="M22" s="14" t="n">
        <x:v>0.5</x:v>
      </x:c>
      <x:c r="N22" s="16"/>
      <x:c r="O22" s="17" t="str">
        <x:v>未开始</x:v>
      </x:c>
      <x:c r="P22" s="17" t="str">
        <x:v>待验收</x:v>
      </x:c>
      <x:c r="Q22" s="17"/>
      <x:c r="R22" s="17"/>
      <x:c r="S22" s="11" t="str">
        <x:f>IF(AND(O22="已完成",P22="通过",LEN(Q22)&gt;0,LEN(R22)&gt;0),"可计入",IF(O22="已取消","已取消","待证据"))</x:f>
        <x:v>待证据</x:v>
      </x:c>
      <x:c r="T22" s="11"/>
      <x:c r="U22" s="11"/>
      <x:c r="V22" s="11"/>
      <x:c r="W22" s="11" t="str">
        <x:v>周复盘+证据归档</x:v>
      </x:c>
    </x:row>
    <x:row r="23" ht="45" customHeight="1">
      <x:c r="A23" s="11" t="n">
        <x:v>4</x:v>
      </x:c>
      <x:c r="B23" s="11" t="str">
        <x:v>2026-11-23</x:v>
      </x:c>
      <x:c r="C23" s="11" t="str">
        <x:v>一</x:v>
      </x:c>
      <x:c r="D23" s="11" t="str">
        <x:v>SC-0401</x:v>
      </x:c>
      <x:c r="E23" s="11" t="str">
        <x:v>Phase-04 身份认证</x:v>
      </x:c>
      <x:c r="F23" s="11" t="str">
        <x:v>Must</x:v>
      </x:c>
      <x:c r="G23" s="11" t="str">
        <x:v>设计/合同</x:v>
      </x:c>
      <x:c r="H23" s="11" t="str">
        <x:v>画认证时序和威胁模型，决定JWT短期令牌+服务端退出策略</x:v>
      </x:c>
      <x:c r="I23" s="11" t="str">
        <x:v>docs/security/auth.md</x:v>
      </x:c>
      <x:c r="J23" s="11" t="str">
        <x:v>写明令牌过期、泄露应对和限制</x:v>
      </x:c>
      <x:c r="K23" s="11" t="str">
        <x:v>权限与数据隔离</x:v>
      </x:c>
      <x:c r="L23" s="11" t="str">
        <x:v>核心路径先独立设计与实现；AI仅提示/审查，提交前能口述原理。</x:v>
      </x:c>
      <x:c r="M23" s="14" t="n">
        <x:v>1.5</x:v>
      </x:c>
      <x:c r="N23" s="16"/>
      <x:c r="O23" s="17" t="str">
        <x:v>未开始</x:v>
      </x:c>
      <x:c r="P23" s="17" t="str">
        <x:v>待验收</x:v>
      </x:c>
      <x:c r="Q23" s="17"/>
      <x:c r="R23" s="17"/>
      <x:c r="S23" s="11" t="str">
        <x:f>IF(AND(O23="已完成",P23="通过",LEN(Q23)&gt;0,LEN(R23)&gt;0),"可计入",IF(O23="已取消","已取消","待证据"))</x:f>
        <x:v>待证据</x:v>
      </x:c>
      <x:c r="T23" s="11"/>
      <x:c r="U23" s="11"/>
      <x:c r="V23" s="11"/>
      <x:c r="W23" s="11" t="str">
        <x:v>算法：字符串</x:v>
      </x:c>
    </x:row>
    <x:row r="24" ht="45" customHeight="1">
      <x:c r="A24" s="11" t="n">
        <x:v>4</x:v>
      </x:c>
      <x:c r="B24" s="11" t="str">
        <x:v>2026-11-24</x:v>
      </x:c>
      <x:c r="C24" s="11" t="str">
        <x:v>二</x:v>
      </x:c>
      <x:c r="D24" s="11" t="str">
        <x:v>SC-0402</x:v>
      </x:c>
      <x:c r="E24" s="11" t="str">
        <x:v>Phase-04 身份认证</x:v>
      </x:c>
      <x:c r="F24" s="11" t="str">
        <x:v>Must</x:v>
      </x:c>
      <x:c r="G24" s="11" t="str">
        <x:v>设计/合同</x:v>
      </x:c>
      <x:c r="H24" s="11" t="str">
        <x:v>设计users表与唯一邮箱/手机占位字段，添加迁移</x:v>
      </x:c>
      <x:c r="I24" s="11" t="str">
        <x:v>V2__users.sql</x:v>
      </x:c>
      <x:c r="J24" s="11" t="str">
        <x:v>唯一约束生效；不存明文密码</x:v>
      </x:c>
      <x:c r="K24" s="11" t="str">
        <x:v>权限与数据隔离</x:v>
      </x:c>
      <x:c r="L24" s="11" t="str">
        <x:v>核心路径先独立设计与实现；AI仅提示/审查，提交前能口述原理。</x:v>
      </x:c>
      <x:c r="M24" s="14" t="n">
        <x:v>1.5</x:v>
      </x:c>
      <x:c r="N24" s="16"/>
      <x:c r="O24" s="17" t="str">
        <x:v>未开始</x:v>
      </x:c>
      <x:c r="P24" s="17" t="str">
        <x:v>待验收</x:v>
      </x:c>
      <x:c r="Q24" s="17"/>
      <x:c r="R24" s="17"/>
      <x:c r="S24" s="11" t="str">
        <x:f>IF(AND(O24="已完成",P24="通过",LEN(Q24)&gt;0,LEN(R24)&gt;0),"可计入",IF(O24="已取消","已取消","待证据"))</x:f>
        <x:v>待证据</x:v>
      </x:c>
      <x:c r="T24" s="11"/>
      <x:c r="U24" s="11"/>
      <x:c r="V24" s="11"/>
      <x:c r="W24" s="11" t="str">
        <x:v>基础：Spring Security过滤器、Cookie与JWT</x:v>
      </x:c>
    </x:row>
    <x:row r="25" ht="45" customHeight="1">
      <x:c r="A25" s="11" t="n">
        <x:v>4</x:v>
      </x:c>
      <x:c r="B25" s="11" t="str">
        <x:v>2026-11-25</x:v>
      </x:c>
      <x:c r="C25" s="11" t="str">
        <x:v>三</x:v>
      </x:c>
      <x:c r="D25" s="11" t="str">
        <x:v>SC-0403</x:v>
      </x:c>
      <x:c r="E25" s="11" t="str">
        <x:v>Phase-04 身份认证</x:v>
      </x:c>
      <x:c r="F25" s="11" t="str">
        <x:v>Must</x:v>
      </x:c>
      <x:c r="G25" s="11" t="str">
        <x:v>开发/验证</x:v>
      </x:c>
      <x:c r="H25" s="11" t="str">
        <x:v>实现注册、密码哈希、重复注册错误</x:v>
      </x:c>
      <x:c r="I25" s="11" t="str">
        <x:v>POST /auth/register</x:v>
      </x:c>
      <x:c r="J25" s="11" t="str">
        <x:v>密码不写日志、重复账号返回409</x:v>
      </x:c>
      <x:c r="K25" s="11" t="str">
        <x:v>权限与数据隔离</x:v>
      </x:c>
      <x:c r="L25" s="11" t="str">
        <x:v>核心路径先独立设计与实现；AI仅提示/审查，提交前能口述原理。</x:v>
      </x:c>
      <x:c r="M25" s="14" t="n">
        <x:v>1.5</x:v>
      </x:c>
      <x:c r="N25" s="16"/>
      <x:c r="O25" s="17" t="str">
        <x:v>未开始</x:v>
      </x:c>
      <x:c r="P25" s="17" t="str">
        <x:v>待验收</x:v>
      </x:c>
      <x:c r="Q25" s="17"/>
      <x:c r="R25" s="17"/>
      <x:c r="S25" s="11" t="str">
        <x:f>IF(AND(O25="已完成",P25="通过",LEN(Q25)&gt;0,LEN(R25)&gt;0),"可计入",IF(O25="已取消","已取消","待证据"))</x:f>
        <x:v>待证据</x:v>
      </x:c>
      <x:c r="T25" s="11"/>
      <x:c r="U25" s="11"/>
      <x:c r="V25" s="11"/>
      <x:c r="W25" s="11" t="str">
        <x:v>算法：字符串</x:v>
      </x:c>
    </x:row>
    <x:row r="26" ht="45" customHeight="1">
      <x:c r="A26" s="11" t="n">
        <x:v>4</x:v>
      </x:c>
      <x:c r="B26" s="11" t="str">
        <x:v>2026-11-26</x:v>
      </x:c>
      <x:c r="C26" s="11" t="str">
        <x:v>四</x:v>
      </x:c>
      <x:c r="D26" s="11" t="str">
        <x:v>SC-0404</x:v>
      </x:c>
      <x:c r="E26" s="11" t="str">
        <x:v>Phase-04 身份认证</x:v>
      </x:c>
      <x:c r="F26" s="11" t="str">
        <x:v>Must</x:v>
      </x:c>
      <x:c r="G26" s="11" t="str">
        <x:v>开发/验证</x:v>
      </x:c>
      <x:c r="H26" s="11" t="str">
        <x:v>实现登录、短期JWT及过期测试，明确登出/注销的令牌失效策略和权衡</x:v>
      </x:c>
      <x:c r="I26" s="11" t="str">
        <x:v>auth/application + docs/security/token-policy.md</x:v>
      </x:c>
      <x:c r="J26" s="11" t="str">
        <x:v>令牌过期401、伪造令牌401，JWT签名凭据不入仓库</x:v>
      </x:c>
      <x:c r="K26" s="11" t="str">
        <x:v>权限与数据隔离</x:v>
      </x:c>
      <x:c r="L26" s="11" t="str">
        <x:v>不自行发明密码学算法</x:v>
      </x:c>
      <x:c r="M26" s="14" t="n">
        <x:v>1.5</x:v>
      </x:c>
      <x:c r="N26" s="16"/>
      <x:c r="O26" s="17" t="str">
        <x:v>未开始</x:v>
      </x:c>
      <x:c r="P26" s="17" t="str">
        <x:v>待验收</x:v>
      </x:c>
      <x:c r="Q26" s="17"/>
      <x:c r="R26" s="17"/>
      <x:c r="S26" s="11" t="str">
        <x:f>IF(AND(O26="已完成",P26="通过",LEN(Q26)&gt;0,LEN(R26)&gt;0),"可计入",IF(O26="已取消","已取消","待证据"))</x:f>
        <x:v>待证据</x:v>
      </x:c>
      <x:c r="T26" s="11"/>
      <x:c r="U26" s="11"/>
      <x:c r="V26" s="11"/>
      <x:c r="W26" s="11" t="str">
        <x:v>基础：Spring Security过滤器、Cookie与JWT</x:v>
      </x:c>
    </x:row>
    <x:row r="27" ht="45" customHeight="1">
      <x:c r="A27" s="11" t="n">
        <x:v>4</x:v>
      </x:c>
      <x:c r="B27" s="11" t="str">
        <x:v>2026-11-27</x:v>
      </x:c>
      <x:c r="C27" s="11" t="str">
        <x:v>五</x:v>
      </x:c>
      <x:c r="D27" s="11" t="str">
        <x:v>SC-0405</x:v>
      </x:c>
      <x:c r="E27" s="11" t="str">
        <x:v>Phase-04 身份认证</x:v>
      </x:c>
      <x:c r="F27" s="11" t="str">
        <x:v>Must</x:v>
      </x:c>
      <x:c r="G27" s="11" t="str">
        <x:v>开发/验证</x:v>
      </x:c>
      <x:c r="H27" s="11" t="str">
        <x:v>实现Spring Security过滤链并默认拒绝非公开API</x:v>
      </x:c>
      <x:c r="I27" s="11" t="str">
        <x:v>SecurityConfig</x:v>
      </x:c>
      <x:c r="J27" s="11" t="str">
        <x:v>匿名不能调用用户订单接口</x:v>
      </x:c>
      <x:c r="K27" s="11" t="str">
        <x:v>权限与数据隔离</x:v>
      </x:c>
      <x:c r="L27" s="11" t="str">
        <x:v>独立验收时使用L0/L1；AI只在验收后做复盘。</x:v>
      </x:c>
      <x:c r="M27" s="14" t="n">
        <x:v>1</x:v>
      </x:c>
      <x:c r="N27" s="16"/>
      <x:c r="O27" s="17" t="str">
        <x:v>未开始</x:v>
      </x:c>
      <x:c r="P27" s="17" t="str">
        <x:v>待验收</x:v>
      </x:c>
      <x:c r="Q27" s="17"/>
      <x:c r="R27" s="17"/>
      <x:c r="S27" s="11" t="str">
        <x:f>IF(AND(O27="已完成",P27="通过",LEN(Q27)&gt;0,LEN(R27)&gt;0),"可计入",IF(O27="已取消","已取消","待证据"))</x:f>
        <x:v>待证据</x:v>
      </x:c>
      <x:c r="T27" s="11"/>
      <x:c r="U27" s="11"/>
      <x:c r="V27" s="11"/>
      <x:c r="W27" s="11" t="str">
        <x:v>算法：字符串</x:v>
      </x:c>
    </x:row>
    <x:row r="28" ht="45" customHeight="1">
      <x:c r="A28" s="11" t="n">
        <x:v>4</x:v>
      </x:c>
      <x:c r="B28" s="11" t="str">
        <x:v>2026-11-28</x:v>
      </x:c>
      <x:c r="C28" s="11" t="str">
        <x:v>六</x:v>
      </x:c>
      <x:c r="D28" s="11" t="str">
        <x:v>SC-0406</x:v>
      </x:c>
      <x:c r="E28" s="11" t="str">
        <x:v>Phase-04 身份认证</x:v>
      </x:c>
      <x:c r="F28" s="11" t="str">
        <x:v>Must</x:v>
      </x:c>
      <x:c r="G28" s="11" t="str">
        <x:v>开发/验证</x:v>
      </x:c>
      <x:c r="H28" s="11" t="str">
        <x:v>完成认证集成测试：匿名、正常、过期、伪造令牌</x:v>
      </x:c>
      <x:c r="I28" s="11" t="str">
        <x:v>AuthIntegrationTest</x:v>
      </x:c>
      <x:c r="J28" s="11" t="str">
        <x:v>关键失败路径全为401/403且无敏感输出</x:v>
      </x:c>
      <x:c r="K28" s="11" t="str">
        <x:v>权限与数据隔离</x:v>
      </x:c>
      <x:c r="L28" s="11" t="str">
        <x:v>核心路径先独立设计与实现；AI仅提示/审查，提交前能口述原理。</x:v>
      </x:c>
      <x:c r="M28" s="14" t="n">
        <x:v>2.5</x:v>
      </x:c>
      <x:c r="N28" s="16"/>
      <x:c r="O28" s="17" t="str">
        <x:v>未开始</x:v>
      </x:c>
      <x:c r="P28" s="17" t="str">
        <x:v>待验收</x:v>
      </x:c>
      <x:c r="Q28" s="17"/>
      <x:c r="R28" s="17"/>
      <x:c r="S28" s="11" t="str">
        <x:f>IF(AND(O28="已完成",P28="通过",LEN(Q28)&gt;0,LEN(R28)&gt;0),"可计入",IF(O28="已取消","已取消","待证据"))</x:f>
        <x:v>待证据</x:v>
      </x:c>
      <x:c r="T28" s="11"/>
      <x:c r="U28" s="11"/>
      <x:c r="V28" s="11"/>
      <x:c r="W28" s="11" t="str">
        <x:v>求职/返工缓冲或补测试</x:v>
      </x:c>
    </x:row>
    <x:row r="29" ht="45" customHeight="1">
      <x:c r="A29" s="11" t="n">
        <x:v>4</x:v>
      </x:c>
      <x:c r="B29" s="11" t="str">
        <x:v>2026-11-29</x:v>
      </x:c>
      <x:c r="C29" s="11" t="str">
        <x:v>日</x:v>
      </x:c>
      <x:c r="D29" s="11" t="str">
        <x:v>SC-0407</x:v>
      </x:c>
      <x:c r="E29" s="11" t="str">
        <x:v>Phase-04 身份认证</x:v>
      </x:c>
      <x:c r="F29" s="11" t="str">
        <x:v>Must</x:v>
      </x:c>
      <x:c r="G29" s="11" t="str">
        <x:v>缓冲/回归</x:v>
      </x:c>
      <x:c r="H29" s="11" t="str">
        <x:v>无AI口述注册→登录→鉴权请求链路，并修复本周未通过测试</x:v>
      </x:c>
      <x:c r="I29" s="11" t="str">
        <x:v>docs/reviews/week04.md</x:v>
      </x:c>
      <x:c r="J29" s="11" t="str">
        <x:v>区分认证401与授权403</x:v>
      </x:c>
      <x:c r="K29" s="11" t="str">
        <x:v>权限与数据隔离</x:v>
      </x:c>
      <x:c r="L29" s="11" t="str">
        <x:v>核心路径先独立设计与实现；AI仅提示/审查，提交前能口述原理。</x:v>
      </x:c>
      <x:c r="M29" s="14" t="n">
        <x:v>0.5</x:v>
      </x:c>
      <x:c r="N29" s="16"/>
      <x:c r="O29" s="17" t="str">
        <x:v>未开始</x:v>
      </x:c>
      <x:c r="P29" s="17" t="str">
        <x:v>待验收</x:v>
      </x:c>
      <x:c r="Q29" s="17"/>
      <x:c r="R29" s="17"/>
      <x:c r="S29" s="11" t="str">
        <x:f>IF(AND(O29="已完成",P29="通过",LEN(Q29)&gt;0,LEN(R29)&gt;0),"可计入",IF(O29="已取消","已取消","待证据"))</x:f>
        <x:v>待证据</x:v>
      </x:c>
      <x:c r="T29" s="11"/>
      <x:c r="U29" s="11"/>
      <x:c r="V29" s="11"/>
      <x:c r="W29" s="11" t="str">
        <x:v>周复盘+证据归档</x:v>
      </x:c>
    </x:row>
    <x:row r="30" ht="45" customHeight="1">
      <x:c r="A30" s="11" t="n">
        <x:v>5</x:v>
      </x:c>
      <x:c r="B30" s="11" t="str">
        <x:v>2026-11-30</x:v>
      </x:c>
      <x:c r="C30" s="11" t="str">
        <x:v>一</x:v>
      </x:c>
      <x:c r="D30" s="11" t="str">
        <x:v>SC-0501</x:v>
      </x:c>
      <x:c r="E30" s="11" t="str">
        <x:v>Phase-05 访问控制</x:v>
      </x:c>
      <x:c r="F30" s="11" t="str">
        <x:v>Must</x:v>
      </x:c>
      <x:c r="G30" s="11" t="str">
        <x:v>设计/合同</x:v>
      </x:c>
      <x:c r="H30" s="11" t="str">
        <x:v>设计USER、ADMIN、SUPPORT三角色及接口权限矩阵</x:v>
      </x:c>
      <x:c r="I30" s="11" t="str">
        <x:v>docs/security/permissions.md</x:v>
      </x:c>
      <x:c r="J30" s="11" t="str">
        <x:v>每个敏感接口有最低权限</x:v>
      </x:c>
      <x:c r="K30" s="11" t="str">
        <x:v>权限与数据隔离</x:v>
      </x:c>
      <x:c r="L30" s="11" t="str">
        <x:v>核心路径先独立设计与实现；AI仅提示/审查，提交前能口述原理。</x:v>
      </x:c>
      <x:c r="M30" s="14" t="n">
        <x:v>1.5</x:v>
      </x:c>
      <x:c r="N30" s="16"/>
      <x:c r="O30" s="17" t="str">
        <x:v>未开始</x:v>
      </x:c>
      <x:c r="P30" s="17" t="str">
        <x:v>待验收</x:v>
      </x:c>
      <x:c r="Q30" s="17"/>
      <x:c r="R30" s="17"/>
      <x:c r="S30" s="11" t="str">
        <x:f>IF(AND(O30="已完成",P30="通过",LEN(Q30)&gt;0,LEN(R30)&gt;0),"可计入",IF(O30="已取消","已取消","待证据"))</x:f>
        <x:v>待证据</x:v>
      </x:c>
      <x:c r="T30" s="11"/>
      <x:c r="U30" s="11"/>
      <x:c r="V30" s="11"/>
      <x:c r="W30" s="11" t="str">
        <x:v>算法：二分查找</x:v>
      </x:c>
    </x:row>
    <x:row r="31" ht="45" customHeight="1">
      <x:c r="A31" s="11" t="n">
        <x:v>5</x:v>
      </x:c>
      <x:c r="B31" s="11" t="str">
        <x:v>2026-12-01</x:v>
      </x:c>
      <x:c r="C31" s="11" t="str">
        <x:v>二</x:v>
      </x:c>
      <x:c r="D31" s="11" t="str">
        <x:v>SC-0502</x:v>
      </x:c>
      <x:c r="E31" s="11" t="str">
        <x:v>Phase-05 访问控制</x:v>
      </x:c>
      <x:c r="F31" s="11" t="str">
        <x:v>Must</x:v>
      </x:c>
      <x:c r="G31" s="11" t="str">
        <x:v>开发/验证</x:v>
      </x:c>
      <x:c r="H31" s="11" t="str">
        <x:v>完成roles/user_roles表和种子管理员创建脚本</x:v>
      </x:c>
      <x:c r="I31" s="11" t="str">
        <x:v>V3__roles.sql + scripts/seed-admin</x:v>
      </x:c>
      <x:c r="J31" s="11" t="str">
        <x:v>管理员凭据从环境变量注入</x:v>
      </x:c>
      <x:c r="K31" s="11" t="str">
        <x:v>权限与数据隔离</x:v>
      </x:c>
      <x:c r="L31" s="11" t="str">
        <x:v>核心路径先独立设计与实现；AI仅提示/审查，提交前能口述原理。</x:v>
      </x:c>
      <x:c r="M31" s="14" t="n">
        <x:v>1.5</x:v>
      </x:c>
      <x:c r="N31" s="16"/>
      <x:c r="O31" s="17" t="str">
        <x:v>未开始</x:v>
      </x:c>
      <x:c r="P31" s="17" t="str">
        <x:v>待验收</x:v>
      </x:c>
      <x:c r="Q31" s="17"/>
      <x:c r="R31" s="17"/>
      <x:c r="S31" s="11" t="str">
        <x:f>IF(AND(O31="已完成",P31="通过",LEN(Q31)&gt;0,LEN(R31)&gt;0),"可计入",IF(O31="已取消","已取消","待证据"))</x:f>
        <x:v>待证据</x:v>
      </x:c>
      <x:c r="T31" s="11"/>
      <x:c r="U31" s="11"/>
      <x:c r="V31" s="11"/>
      <x:c r="W31" s="11" t="str">
        <x:v>基础：RBAC与IDOR</x:v>
      </x:c>
    </x:row>
    <x:row r="32" ht="45" customHeight="1">
      <x:c r="A32" s="11" t="n">
        <x:v>5</x:v>
      </x:c>
      <x:c r="B32" s="11" t="str">
        <x:v>2026-12-02</x:v>
      </x:c>
      <x:c r="C32" s="11" t="str">
        <x:v>三</x:v>
      </x:c>
      <x:c r="D32" s="11" t="str">
        <x:v>SC-0503</x:v>
      </x:c>
      <x:c r="E32" s="11" t="str">
        <x:v>Phase-05 访问控制</x:v>
      </x:c>
      <x:c r="F32" s="11" t="str">
        <x:v>Must</x:v>
      </x:c>
      <x:c r="G32" s="11" t="str">
        <x:v>开发/验证</x:v>
      </x:c>
      <x:c r="H32" s="11" t="str">
        <x:v>用方法级或请求级鉴权保护管理接口</x:v>
      </x:c>
      <x:c r="I32" s="11" t="str">
        <x:v>SecurityConfig + @PreAuthorize</x:v>
      </x:c>
      <x:c r="J32" s="11" t="str">
        <x:v>USER不能修改商品价格</x:v>
      </x:c>
      <x:c r="K32" s="11" t="str">
        <x:v>权限与数据隔离</x:v>
      </x:c>
      <x:c r="L32" s="11" t="str">
        <x:v>核心路径先独立设计与实现；AI仅提示/审查，提交前能口述原理。</x:v>
      </x:c>
      <x:c r="M32" s="14" t="n">
        <x:v>1.5</x:v>
      </x:c>
      <x:c r="N32" s="16"/>
      <x:c r="O32" s="17" t="str">
        <x:v>未开始</x:v>
      </x:c>
      <x:c r="P32" s="17" t="str">
        <x:v>待验收</x:v>
      </x:c>
      <x:c r="Q32" s="17"/>
      <x:c r="R32" s="17"/>
      <x:c r="S32" s="11" t="str">
        <x:f>IF(AND(O32="已完成",P32="通过",LEN(Q32)&gt;0,LEN(R32)&gt;0),"可计入",IF(O32="已取消","已取消","待证据"))</x:f>
        <x:v>待证据</x:v>
      </x:c>
      <x:c r="T32" s="11"/>
      <x:c r="U32" s="11"/>
      <x:c r="V32" s="11"/>
      <x:c r="W32" s="11" t="str">
        <x:v>算法：二分查找</x:v>
      </x:c>
    </x:row>
    <x:row r="33" ht="45" customHeight="1">
      <x:c r="A33" s="11" t="n">
        <x:v>5</x:v>
      </x:c>
      <x:c r="B33" s="11" t="str">
        <x:v>2026-12-03</x:v>
      </x:c>
      <x:c r="C33" s="11" t="str">
        <x:v>四</x:v>
      </x:c>
      <x:c r="D33" s="11" t="str">
        <x:v>SC-0504</x:v>
      </x:c>
      <x:c r="E33" s="11" t="str">
        <x:v>Phase-05 访问控制</x:v>
      </x:c>
      <x:c r="F33" s="11" t="str">
        <x:v>Must</x:v>
      </x:c>
      <x:c r="G33" s="11" t="str">
        <x:v>开发/验证</x:v>
      </x:c>
      <x:c r="H33" s="11" t="str">
        <x:v>实现资源归属校验的接口与假数据测试，为后续订单详情预留策略</x:v>
      </x:c>
      <x:c r="I33" s="11" t="str">
        <x:v>ResourceOwnershipPolicy + MockOrderOwnerTest</x:v>
      </x:c>
      <x:c r="J33" s="11" t="str">
        <x:v>用户A请求用户B模拟订单必须被拒绝</x:v>
      </x:c>
      <x:c r="K33" s="11" t="str">
        <x:v>权限与数据隔离</x:v>
      </x:c>
      <x:c r="L33" s="11" t="str">
        <x:v>核心路径先独立设计与实现；AI仅提示/审查，提交前能口述原理。</x:v>
      </x:c>
      <x:c r="M33" s="14" t="n">
        <x:v>1.5</x:v>
      </x:c>
      <x:c r="N33" s="16"/>
      <x:c r="O33" s="17" t="str">
        <x:v>未开始</x:v>
      </x:c>
      <x:c r="P33" s="17" t="str">
        <x:v>待验收</x:v>
      </x:c>
      <x:c r="Q33" s="17"/>
      <x:c r="R33" s="17"/>
      <x:c r="S33" s="11" t="str">
        <x:f>IF(AND(O33="已完成",P33="通过",LEN(Q33)&gt;0,LEN(R33)&gt;0),"可计入",IF(O33="已取消","已取消","待证据"))</x:f>
        <x:v>待证据</x:v>
      </x:c>
      <x:c r="T33" s="11"/>
      <x:c r="U33" s="11"/>
      <x:c r="V33" s="11"/>
      <x:c r="W33" s="11" t="str">
        <x:v>基础：RBAC与IDOR</x:v>
      </x:c>
    </x:row>
    <x:row r="34" ht="45" customHeight="1">
      <x:c r="A34" s="11" t="n">
        <x:v>5</x:v>
      </x:c>
      <x:c r="B34" s="11" t="str">
        <x:v>2026-12-04</x:v>
      </x:c>
      <x:c r="C34" s="11" t="str">
        <x:v>五</x:v>
      </x:c>
      <x:c r="D34" s="11" t="str">
        <x:v>SC-0505</x:v>
      </x:c>
      <x:c r="E34" s="11" t="str">
        <x:v>Phase-05 访问控制</x:v>
      </x:c>
      <x:c r="F34" s="11" t="str">
        <x:v>Must</x:v>
      </x:c>
      <x:c r="G34" s="11" t="str">
        <x:v>开发/验证</x:v>
      </x:c>
      <x:c r="H34" s="11" t="str">
        <x:v>为关键管理操作添加审计记录（操作者、动作、目标、时间）</x:v>
      </x:c>
      <x:c r="I34" s="11" t="str">
        <x:v>audit_log表与AuditService</x:v>
      </x:c>
      <x:c r="J34" s="11" t="str">
        <x:v>审计不写密码/令牌</x:v>
      </x:c>
      <x:c r="K34" s="11" t="str">
        <x:v>权限与数据隔离</x:v>
      </x:c>
      <x:c r="L34" s="11" t="str">
        <x:v>独立验收时使用L0/L1；AI只在验收后做复盘。</x:v>
      </x:c>
      <x:c r="M34" s="14" t="n">
        <x:v>1</x:v>
      </x:c>
      <x:c r="N34" s="16"/>
      <x:c r="O34" s="17" t="str">
        <x:v>未开始</x:v>
      </x:c>
      <x:c r="P34" s="17" t="str">
        <x:v>待验收</x:v>
      </x:c>
      <x:c r="Q34" s="17"/>
      <x:c r="R34" s="17"/>
      <x:c r="S34" s="11" t="str">
        <x:f>IF(AND(O34="已完成",P34="通过",LEN(Q34)&gt;0,LEN(R34)&gt;0),"可计入",IF(O34="已取消","已取消","待证据"))</x:f>
        <x:v>待证据</x:v>
      </x:c>
      <x:c r="T34" s="11"/>
      <x:c r="U34" s="11"/>
      <x:c r="V34" s="11"/>
      <x:c r="W34" s="11" t="str">
        <x:v>算法：二分查找</x:v>
      </x:c>
    </x:row>
    <x:row r="35" ht="45" customHeight="1">
      <x:c r="A35" s="11" t="n">
        <x:v>5</x:v>
      </x:c>
      <x:c r="B35" s="11" t="str">
        <x:v>2026-12-05</x:v>
      </x:c>
      <x:c r="C35" s="11" t="str">
        <x:v>六</x:v>
      </x:c>
      <x:c r="D35" s="11" t="str">
        <x:v>SC-0506</x:v>
      </x:c>
      <x:c r="E35" s="11" t="str">
        <x:v>Phase-05 访问控制</x:v>
      </x:c>
      <x:c r="F35" s="11" t="str">
        <x:v>Must</x:v>
      </x:c>
      <x:c r="G35" s="11" t="str">
        <x:v>开发/验证</x:v>
      </x:c>
      <x:c r="H35" s="11" t="str">
        <x:v>编写对象级鉴权矩阵：商品管理、购物车、模拟订单、售后工单；自动化验证用户A/B/客服/管理员</x:v>
      </x:c>
      <x:c r="I35" s="11" t="str">
        <x:v>AuthorizationIT</x:v>
      </x:c>
      <x:c r="J35" s="11" t="str">
        <x:v>横向与纵向越权用例必须全部拒绝</x:v>
      </x:c>
      <x:c r="K35" s="11" t="str">
        <x:v>权限与数据隔离</x:v>
      </x:c>
      <x:c r="L35" s="11" t="str">
        <x:v>API有权限≠对象属于本人</x:v>
      </x:c>
      <x:c r="M35" s="14" t="n">
        <x:v>2.5</x:v>
      </x:c>
      <x:c r="N35" s="16"/>
      <x:c r="O35" s="17" t="str">
        <x:v>未开始</x:v>
      </x:c>
      <x:c r="P35" s="17" t="str">
        <x:v>待验收</x:v>
      </x:c>
      <x:c r="Q35" s="17"/>
      <x:c r="R35" s="17"/>
      <x:c r="S35" s="11" t="str">
        <x:f>IF(AND(O35="已完成",P35="通过",LEN(Q35)&gt;0,LEN(R35)&gt;0),"可计入",IF(O35="已取消","已取消","待证据"))</x:f>
        <x:v>待证据</x:v>
      </x:c>
      <x:c r="T35" s="11"/>
      <x:c r="U35" s="11"/>
      <x:c r="V35" s="11"/>
      <x:c r="W35" s="11" t="str">
        <x:v>求职/返工缓冲或补测试</x:v>
      </x:c>
    </x:row>
    <x:row r="36" ht="45" customHeight="1">
      <x:c r="A36" s="11" t="n">
        <x:v>5</x:v>
      </x:c>
      <x:c r="B36" s="11" t="str">
        <x:v>2026-12-06</x:v>
      </x:c>
      <x:c r="C36" s="11" t="str">
        <x:v>日</x:v>
      </x:c>
      <x:c r="D36" s="11" t="str">
        <x:v>SC-0507</x:v>
      </x:c>
      <x:c r="E36" s="11" t="str">
        <x:v>Phase-05 访问控制</x:v>
      </x:c>
      <x:c r="F36" s="11" t="str">
        <x:v>Must</x:v>
      </x:c>
      <x:c r="G36" s="11" t="str">
        <x:v>缓冲/回归</x:v>
      </x:c>
      <x:c r="H36" s="11" t="str">
        <x:v>模拟一次权限漏洞代码审查与修复PR</x:v>
      </x:c>
      <x:c r="I36" s="11" t="str">
        <x:v>docs/security/authorization-review.md</x:v>
      </x:c>
      <x:c r="J36" s="11" t="str">
        <x:v>保留失败测试→修复→通过证据</x:v>
      </x:c>
      <x:c r="K36" s="11" t="str">
        <x:v>权限与数据隔离</x:v>
      </x:c>
      <x:c r="L36" s="11" t="str">
        <x:v>核心路径先独立设计与实现；AI仅提示/审查，提交前能口述原理。</x:v>
      </x:c>
      <x:c r="M36" s="14" t="n">
        <x:v>0.5</x:v>
      </x:c>
      <x:c r="N36" s="16"/>
      <x:c r="O36" s="17" t="str">
        <x:v>未开始</x:v>
      </x:c>
      <x:c r="P36" s="17" t="str">
        <x:v>待验收</x:v>
      </x:c>
      <x:c r="Q36" s="17"/>
      <x:c r="R36" s="17"/>
      <x:c r="S36" s="11" t="str">
        <x:f>IF(AND(O36="已完成",P36="通过",LEN(Q36)&gt;0,LEN(R36)&gt;0),"可计入",IF(O36="已取消","已取消","待证据"))</x:f>
        <x:v>待证据</x:v>
      </x:c>
      <x:c r="T36" s="11"/>
      <x:c r="U36" s="11"/>
      <x:c r="V36" s="11"/>
      <x:c r="W36" s="11" t="str">
        <x:v>周复盘+证据归档</x:v>
      </x:c>
    </x:row>
    <x:row r="37" ht="45" customHeight="1">
      <x:c r="A37" s="11" t="n">
        <x:v>6</x:v>
      </x:c>
      <x:c r="B37" s="11" t="str">
        <x:v>2026-12-07</x:v>
      </x:c>
      <x:c r="C37" s="11" t="str">
        <x:v>一</x:v>
      </x:c>
      <x:c r="D37" s="11" t="str">
        <x:v>SC-0601</x:v>
      </x:c>
      <x:c r="E37" s="11" t="str">
        <x:v>Phase-06 购物车</x:v>
      </x:c>
      <x:c r="F37" s="11" t="str">
        <x:v>Must</x:v>
      </x:c>
      <x:c r="G37" s="11" t="str">
        <x:v>设计/合同</x:v>
      </x:c>
      <x:c r="H37" s="11" t="str">
        <x:v>定义购物车规则：合并同SKU、数量限制、商品下架处理</x:v>
      </x:c>
      <x:c r="I37" s="11" t="str">
        <x:v>docs/prd/cart.md</x:v>
      </x:c>
      <x:c r="J37" s="11" t="str">
        <x:v>至少5条正常/异常验收场景</x:v>
      </x:c>
      <x:c r="K37" s="11" t="str">
        <x:v>权限与数据隔离</x:v>
      </x:c>
      <x:c r="L37" s="11" t="str">
        <x:v>核心路径先独立设计与实现；AI仅提示/审查，提交前能口述原理。</x:v>
      </x:c>
      <x:c r="M37" s="14" t="n">
        <x:v>1.5</x:v>
      </x:c>
      <x:c r="N37" s="16"/>
      <x:c r="O37" s="17" t="str">
        <x:v>未开始</x:v>
      </x:c>
      <x:c r="P37" s="17" t="str">
        <x:v>待验收</x:v>
      </x:c>
      <x:c r="Q37" s="17"/>
      <x:c r="R37" s="17"/>
      <x:c r="S37" s="11" t="str">
        <x:f>IF(AND(O37="已完成",P37="通过",LEN(Q37)&gt;0,LEN(R37)&gt;0),"可计入",IF(O37="已取消","已取消","待证据"))</x:f>
        <x:v>待证据</x:v>
      </x:c>
      <x:c r="T37" s="11"/>
      <x:c r="U37" s="11"/>
      <x:c r="V37" s="11"/>
      <x:c r="W37" s="11" t="str">
        <x:v>算法：链表</x:v>
      </x:c>
    </x:row>
    <x:row r="38" ht="45" customHeight="1">
      <x:c r="A38" s="11" t="n">
        <x:v>6</x:v>
      </x:c>
      <x:c r="B38" s="11" t="str">
        <x:v>2026-12-08</x:v>
      </x:c>
      <x:c r="C38" s="11" t="str">
        <x:v>二</x:v>
      </x:c>
      <x:c r="D38" s="11" t="str">
        <x:v>SC-0602</x:v>
      </x:c>
      <x:c r="E38" s="11" t="str">
        <x:v>Phase-06 购物车</x:v>
      </x:c>
      <x:c r="F38" s="11" t="str">
        <x:v>Must</x:v>
      </x:c>
      <x:c r="G38" s="11" t="str">
        <x:v>设计/合同</x:v>
      </x:c>
      <x:c r="H38" s="11" t="str">
        <x:v>设计cart_items表和(user_id,sku_id)唯一索引</x:v>
      </x:c>
      <x:c r="I38" s="11" t="str">
        <x:v>V4__cart.sql</x:v>
      </x:c>
      <x:c r="J38" s="11" t="str">
        <x:v>同一用户同一商品只会有一行</x:v>
      </x:c>
      <x:c r="K38" s="11" t="str">
        <x:v>权限与数据隔离</x:v>
      </x:c>
      <x:c r="L38" s="11" t="str">
        <x:v>核心路径先独立设计与实现；AI仅提示/审查，提交前能口述原理。</x:v>
      </x:c>
      <x:c r="M38" s="14" t="n">
        <x:v>1.5</x:v>
      </x:c>
      <x:c r="N38" s="16"/>
      <x:c r="O38" s="17" t="str">
        <x:v>未开始</x:v>
      </x:c>
      <x:c r="P38" s="17" t="str">
        <x:v>待验收</x:v>
      </x:c>
      <x:c r="Q38" s="17"/>
      <x:c r="R38" s="17"/>
      <x:c r="S38" s="11" t="str">
        <x:f>IF(AND(O38="已完成",P38="通过",LEN(Q38)&gt;0,LEN(R38)&gt;0),"可计入",IF(O38="已取消","已取消","待证据"))</x:f>
        <x:v>待证据</x:v>
      </x:c>
      <x:c r="T38" s="11"/>
      <x:c r="U38" s="11"/>
      <x:c r="V38" s="11"/>
      <x:c r="W38" s="11" t="str">
        <x:v>基础：Java泛型、集合、BigDecimal</x:v>
      </x:c>
    </x:row>
    <x:row r="39" ht="45" customHeight="1">
      <x:c r="A39" s="11" t="n">
        <x:v>6</x:v>
      </x:c>
      <x:c r="B39" s="11" t="str">
        <x:v>2026-12-09</x:v>
      </x:c>
      <x:c r="C39" s="11" t="str">
        <x:v>三</x:v>
      </x:c>
      <x:c r="D39" s="11" t="str">
        <x:v>SC-0603</x:v>
      </x:c>
      <x:c r="E39" s="11" t="str">
        <x:v>Phase-06 购物车</x:v>
      </x:c>
      <x:c r="F39" s="11" t="str">
        <x:v>Must</x:v>
      </x:c>
      <x:c r="G39" s="11" t="str">
        <x:v>开发/验证</x:v>
      </x:c>
      <x:c r="H39" s="11" t="str">
        <x:v>完成POST /cart/items及合法性校验</x:v>
      </x:c>
      <x:c r="I39" s="11" t="str">
        <x:v>CartService.add</x:v>
      </x:c>
      <x:c r="J39" s="11" t="str">
        <x:v>非法数量与下架商品被拒绝</x:v>
      </x:c>
      <x:c r="K39" s="11" t="str">
        <x:v>权限与数据隔离</x:v>
      </x:c>
      <x:c r="L39" s="11" t="str">
        <x:v>核心路径先独立设计与实现；AI仅提示/审查，提交前能口述原理。</x:v>
      </x:c>
      <x:c r="M39" s="14" t="n">
        <x:v>1.5</x:v>
      </x:c>
      <x:c r="N39" s="16"/>
      <x:c r="O39" s="17" t="str">
        <x:v>未开始</x:v>
      </x:c>
      <x:c r="P39" s="17" t="str">
        <x:v>待验收</x:v>
      </x:c>
      <x:c r="Q39" s="17"/>
      <x:c r="R39" s="17"/>
      <x:c r="S39" s="11" t="str">
        <x:f>IF(AND(O39="已完成",P39="通过",LEN(Q39)&gt;0,LEN(R39)&gt;0),"可计入",IF(O39="已取消","已取消","待证据"))</x:f>
        <x:v>待证据</x:v>
      </x:c>
      <x:c r="T39" s="11"/>
      <x:c r="U39" s="11"/>
      <x:c r="V39" s="11"/>
      <x:c r="W39" s="11" t="str">
        <x:v>算法：链表</x:v>
      </x:c>
    </x:row>
    <x:row r="40" ht="45" customHeight="1">
      <x:c r="A40" s="11" t="n">
        <x:v>6</x:v>
      </x:c>
      <x:c r="B40" s="11" t="str">
        <x:v>2026-12-10</x:v>
      </x:c>
      <x:c r="C40" s="11" t="str">
        <x:v>四</x:v>
      </x:c>
      <x:c r="D40" s="11" t="str">
        <x:v>SC-0604</x:v>
      </x:c>
      <x:c r="E40" s="11" t="str">
        <x:v>Phase-06 购物车</x:v>
      </x:c>
      <x:c r="F40" s="11" t="str">
        <x:v>Must</x:v>
      </x:c>
      <x:c r="G40" s="11" t="str">
        <x:v>开发/验证</x:v>
      </x:c>
      <x:c r="H40" s="11" t="str">
        <x:v>完成PATCH /cart/items/{id}数量变更、DELETE删除</x:v>
      </x:c>
      <x:c r="I40" s="11" t="str">
        <x:v>CartController</x:v>
      </x:c>
      <x:c r="J40" s="11" t="str">
        <x:v>不能编辑其他用户的购物车</x:v>
      </x:c>
      <x:c r="K40" s="11" t="str">
        <x:v>权限与数据隔离</x:v>
      </x:c>
      <x:c r="L40" s="11" t="str">
        <x:v>核心路径先独立设计与实现；AI仅提示/审查，提交前能口述原理。</x:v>
      </x:c>
      <x:c r="M40" s="14" t="n">
        <x:v>1.5</x:v>
      </x:c>
      <x:c r="N40" s="16"/>
      <x:c r="O40" s="17" t="str">
        <x:v>未开始</x:v>
      </x:c>
      <x:c r="P40" s="17" t="str">
        <x:v>待验收</x:v>
      </x:c>
      <x:c r="Q40" s="17"/>
      <x:c r="R40" s="17"/>
      <x:c r="S40" s="11" t="str">
        <x:f>IF(AND(O40="已完成",P40="通过",LEN(Q40)&gt;0,LEN(R40)&gt;0),"可计入",IF(O40="已取消","已取消","待证据"))</x:f>
        <x:v>待证据</x:v>
      </x:c>
      <x:c r="T40" s="11"/>
      <x:c r="U40" s="11"/>
      <x:c r="V40" s="11"/>
      <x:c r="W40" s="11" t="str">
        <x:v>基础：Java泛型、集合、BigDecimal</x:v>
      </x:c>
    </x:row>
    <x:row r="41" ht="45" customHeight="1">
      <x:c r="A41" s="11" t="n">
        <x:v>6</x:v>
      </x:c>
      <x:c r="B41" s="11" t="str">
        <x:v>2026-12-11</x:v>
      </x:c>
      <x:c r="C41" s="11" t="str">
        <x:v>五</x:v>
      </x:c>
      <x:c r="D41" s="11" t="str">
        <x:v>SC-0605</x:v>
      </x:c>
      <x:c r="E41" s="11" t="str">
        <x:v>Phase-06 购物车</x:v>
      </x:c>
      <x:c r="F41" s="11" t="str">
        <x:v>Must</x:v>
      </x:c>
      <x:c r="G41" s="11" t="str">
        <x:v>开发/验证</x:v>
      </x:c>
      <x:c r="H41" s="11" t="str">
        <x:v>完成GET /cart及金额展示，金额使用BigDecimal</x:v>
      </x:c>
      <x:c r="I41" s="11" t="str">
        <x:v>CartQueryService</x:v>
      </x:c>
      <x:c r="J41" s="11" t="str">
        <x:v>金额精度正确且不信任前端价格</x:v>
      </x:c>
      <x:c r="K41" s="11" t="str">
        <x:v>权限与数据隔离</x:v>
      </x:c>
      <x:c r="L41" s="11" t="str">
        <x:v>独立验收时使用L0/L1；AI只在验收后做复盘。</x:v>
      </x:c>
      <x:c r="M41" s="14" t="n">
        <x:v>1</x:v>
      </x:c>
      <x:c r="N41" s="16"/>
      <x:c r="O41" s="17" t="str">
        <x:v>未开始</x:v>
      </x:c>
      <x:c r="P41" s="17" t="str">
        <x:v>待验收</x:v>
      </x:c>
      <x:c r="Q41" s="17"/>
      <x:c r="R41" s="17"/>
      <x:c r="S41" s="11" t="str">
        <x:f>IF(AND(O41="已完成",P41="通过",LEN(Q41)&gt;0,LEN(R41)&gt;0),"可计入",IF(O41="已取消","已取消","待证据"))</x:f>
        <x:v>待证据</x:v>
      </x:c>
      <x:c r="T41" s="11"/>
      <x:c r="U41" s="11"/>
      <x:c r="V41" s="11"/>
      <x:c r="W41" s="11" t="str">
        <x:v>算法：链表</x:v>
      </x:c>
    </x:row>
    <x:row r="42" ht="45" customHeight="1">
      <x:c r="A42" s="11" t="n">
        <x:v>6</x:v>
      </x:c>
      <x:c r="B42" s="11" t="str">
        <x:v>2026-12-12</x:v>
      </x:c>
      <x:c r="C42" s="11" t="str">
        <x:v>六</x:v>
      </x:c>
      <x:c r="D42" s="11" t="str">
        <x:v>SC-0606</x:v>
      </x:c>
      <x:c r="E42" s="11" t="str">
        <x:v>Phase-06 购物车</x:v>
      </x:c>
      <x:c r="F42" s="11" t="str">
        <x:v>Must</x:v>
      </x:c>
      <x:c r="G42" s="11" t="str">
        <x:v>开发/验证</x:v>
      </x:c>
      <x:c r="H42" s="11" t="str">
        <x:v>写购物车并发加购集成测试，观察唯一键冲突</x:v>
      </x:c>
      <x:c r="I42" s="11" t="str">
        <x:v>CartIntegrationTest</x:v>
      </x:c>
      <x:c r="J42" s="11" t="str">
        <x:v>并发不会产生重复行、冲突有处理方案</x:v>
      </x:c>
      <x:c r="K42" s="11" t="str">
        <x:v>权限与数据隔离</x:v>
      </x:c>
      <x:c r="L42" s="11" t="str">
        <x:v>核心路径先独立设计与实现；AI仅提示/审查，提交前能口述原理。</x:v>
      </x:c>
      <x:c r="M42" s="14" t="n">
        <x:v>2.5</x:v>
      </x:c>
      <x:c r="N42" s="16"/>
      <x:c r="O42" s="17" t="str">
        <x:v>未开始</x:v>
      </x:c>
      <x:c r="P42" s="17" t="str">
        <x:v>待验收</x:v>
      </x:c>
      <x:c r="Q42" s="17"/>
      <x:c r="R42" s="17"/>
      <x:c r="S42" s="11" t="str">
        <x:f>IF(AND(O42="已完成",P42="通过",LEN(Q42)&gt;0,LEN(R42)&gt;0),"可计入",IF(O42="已取消","已取消","待证据"))</x:f>
        <x:v>待证据</x:v>
      </x:c>
      <x:c r="T42" s="11"/>
      <x:c r="U42" s="11"/>
      <x:c r="V42" s="11"/>
      <x:c r="W42" s="11" t="str">
        <x:v>求职/返工缓冲或补测试</x:v>
      </x:c>
    </x:row>
    <x:row r="43" ht="45" customHeight="1">
      <x:c r="A43" s="11" t="n">
        <x:v>6</x:v>
      </x:c>
      <x:c r="B43" s="11" t="str">
        <x:v>2026-12-13</x:v>
      </x:c>
      <x:c r="C43" s="11" t="str">
        <x:v>日</x:v>
      </x:c>
      <x:c r="D43" s="11" t="str">
        <x:v>SC-0607</x:v>
      </x:c>
      <x:c r="E43" s="11" t="str">
        <x:v>Phase-06 购物车</x:v>
      </x:c>
      <x:c r="F43" s="11" t="str">
        <x:v>Must</x:v>
      </x:c>
      <x:c r="G43" s="11" t="str">
        <x:v>缓冲/回归</x:v>
      </x:c>
      <x:c r="H43" s="11" t="str">
        <x:v>周缓冲与业务回归：从注册登录走通购物车；修复测试/文档阻塞</x:v>
      </x:c>
      <x:c r="I43" s="11" t="str">
        <x:v>tests/e2e/cart.http + docs/reviews/week06.md</x:v>
      </x:c>
      <x:c r="J43" s="11" t="str">
        <x:v>前置数据可复现，不依赖个人本机状态</x:v>
      </x:c>
      <x:c r="K43" s="11" t="str">
        <x:v>权限与数据隔离</x:v>
      </x:c>
      <x:c r="L43" s="11" t="str">
        <x:v>如未完成优先补正确性</x:v>
      </x:c>
      <x:c r="M43" s="14" t="n">
        <x:v>0.5</x:v>
      </x:c>
      <x:c r="N43" s="16"/>
      <x:c r="O43" s="17" t="str">
        <x:v>未开始</x:v>
      </x:c>
      <x:c r="P43" s="17" t="str">
        <x:v>待验收</x:v>
      </x:c>
      <x:c r="Q43" s="17"/>
      <x:c r="R43" s="17"/>
      <x:c r="S43" s="11" t="str">
        <x:f>IF(AND(O43="已完成",P43="通过",LEN(Q43)&gt;0,LEN(R43)&gt;0),"可计入",IF(O43="已取消","已取消","待证据"))</x:f>
        <x:v>待证据</x:v>
      </x:c>
      <x:c r="T43" s="11"/>
      <x:c r="U43" s="11"/>
      <x:c r="V43" s="11"/>
      <x:c r="W43" s="11" t="str">
        <x:v>周复盘+证据归档</x:v>
      </x:c>
    </x:row>
    <x:row r="44" ht="45" customHeight="1">
      <x:c r="A44" s="11" t="n">
        <x:v>7</x:v>
      </x:c>
      <x:c r="B44" s="11" t="str">
        <x:v>2026-12-14</x:v>
      </x:c>
      <x:c r="C44" s="11" t="str">
        <x:v>一</x:v>
      </x:c>
      <x:c r="D44" s="11" t="str">
        <x:v>SC-0701</x:v>
      </x:c>
      <x:c r="E44" s="11" t="str">
        <x:v>Phase-07 库存核心</x:v>
      </x:c>
      <x:c r="F44" s="11" t="str">
        <x:v>Must</x:v>
      </x:c>
      <x:c r="G44" s="11" t="str">
        <x:v>设计/合同</x:v>
      </x:c>
      <x:c r="H44" s="11" t="str">
        <x:v>定义库存不变量：available&gt;=0，且数量变化留痕</x:v>
      </x:c>
      <x:c r="I44" s="11" t="str">
        <x:v>docs/domain/inventory.md</x:v>
      </x:c>
      <x:c r="J44" s="11" t="str">
        <x:v>列出下单/取消/管理员调整三种来源</x:v>
      </x:c>
      <x:c r="K44" s="11" t="str">
        <x:v>交易一致性</x:v>
      </x:c>
      <x:c r="L44" s="11" t="str">
        <x:v>核心路径先独立设计与实现；AI仅提示/审查，提交前能口述原理。</x:v>
      </x:c>
      <x:c r="M44" s="14" t="n">
        <x:v>1.5</x:v>
      </x:c>
      <x:c r="N44" s="16"/>
      <x:c r="O44" s="17" t="str">
        <x:v>未开始</x:v>
      </x:c>
      <x:c r="P44" s="17" t="str">
        <x:v>待验收</x:v>
      </x:c>
      <x:c r="Q44" s="17"/>
      <x:c r="R44" s="17"/>
      <x:c r="S44" s="11" t="str">
        <x:f>IF(AND(O44="已完成",P44="通过",LEN(Q44)&gt;0,LEN(R44)&gt;0),"可计入",IF(O44="已取消","已取消","待证据"))</x:f>
        <x:v>待证据</x:v>
      </x:c>
      <x:c r="T44" s="11"/>
      <x:c r="U44" s="11"/>
      <x:c r="V44" s="11"/>
      <x:c r="W44" s="11" t="str">
        <x:v>算法：二叉树遍历</x:v>
      </x:c>
    </x:row>
    <x:row r="45" ht="45" customHeight="1">
      <x:c r="A45" s="11" t="n">
        <x:v>7</x:v>
      </x:c>
      <x:c r="B45" s="11" t="str">
        <x:v>2026-12-15</x:v>
      </x:c>
      <x:c r="C45" s="11" t="str">
        <x:v>二</x:v>
      </x:c>
      <x:c r="D45" s="11" t="str">
        <x:v>SC-0702</x:v>
      </x:c>
      <x:c r="E45" s="11" t="str">
        <x:v>Phase-07 库存核心</x:v>
      </x:c>
      <x:c r="F45" s="11" t="str">
        <x:v>Must</x:v>
      </x:c>
      <x:c r="G45" s="11" t="str">
        <x:v>设计/合同</x:v>
      </x:c>
      <x:c r="H45" s="11" t="str">
        <x:v>设计inventory与inventory_ledger表，迁移+索引</x:v>
      </x:c>
      <x:c r="I45" s="11" t="str">
        <x:v>V5__inventory.sql</x:v>
      </x:c>
      <x:c r="J45" s="11" t="str">
        <x:v>库存非负约束或应用+SQL双保护</x:v>
      </x:c>
      <x:c r="K45" s="11" t="str">
        <x:v>交易一致性</x:v>
      </x:c>
      <x:c r="L45" s="11" t="str">
        <x:v>核心路径先独立设计与实现；AI仅提示/审查，提交前能口述原理。</x:v>
      </x:c>
      <x:c r="M45" s="14" t="n">
        <x:v>1.5</x:v>
      </x:c>
      <x:c r="N45" s="16"/>
      <x:c r="O45" s="17" t="str">
        <x:v>未开始</x:v>
      </x:c>
      <x:c r="P45" s="17" t="str">
        <x:v>待验收</x:v>
      </x:c>
      <x:c r="Q45" s="17"/>
      <x:c r="R45" s="17"/>
      <x:c r="S45" s="11" t="str">
        <x:f>IF(AND(O45="已完成",P45="通过",LEN(Q45)&gt;0,LEN(R45)&gt;0),"可计入",IF(O45="已取消","已取消","待证据"))</x:f>
        <x:v>待证据</x:v>
      </x:c>
      <x:c r="T45" s="11"/>
      <x:c r="U45" s="11"/>
      <x:c r="V45" s="11"/>
      <x:c r="W45" s="11" t="str">
        <x:v>基础：并发、线程池、synchronized</x:v>
      </x:c>
    </x:row>
    <x:row r="46" ht="45" customHeight="1">
      <x:c r="A46" s="11" t="n">
        <x:v>7</x:v>
      </x:c>
      <x:c r="B46" s="11" t="str">
        <x:v>2026-12-16</x:v>
      </x:c>
      <x:c r="C46" s="11" t="str">
        <x:v>三</x:v>
      </x:c>
      <x:c r="D46" s="11" t="str">
        <x:v>SC-0703</x:v>
      </x:c>
      <x:c r="E46" s="11" t="str">
        <x:v>Phase-07 库存核心</x:v>
      </x:c>
      <x:c r="F46" s="11" t="str">
        <x:v>Must</x:v>
      </x:c>
      <x:c r="G46" s="11" t="str">
        <x:v>开发/验证</x:v>
      </x:c>
      <x:c r="H46" s="11" t="str">
        <x:v>实现原子扣减SQL：UPDATE ... SET available=available-? WHERE available&gt;=?</x:v>
      </x:c>
      <x:c r="I46" s="11" t="str">
        <x:v>InventoryMapper</x:v>
      </x:c>
      <x:c r="J46" s="11" t="str">
        <x:v>库存不足时更新行数为0</x:v>
      </x:c>
      <x:c r="K46" s="11" t="str">
        <x:v>交易一致性</x:v>
      </x:c>
      <x:c r="L46" s="11" t="str">
        <x:v>核心路径先独立设计与实现；AI仅提示/审查，提交前能口述原理。</x:v>
      </x:c>
      <x:c r="M46" s="14" t="n">
        <x:v>1.5</x:v>
      </x:c>
      <x:c r="N46" s="16"/>
      <x:c r="O46" s="17" t="str">
        <x:v>未开始</x:v>
      </x:c>
      <x:c r="P46" s="17" t="str">
        <x:v>待验收</x:v>
      </x:c>
      <x:c r="Q46" s="17"/>
      <x:c r="R46" s="17"/>
      <x:c r="S46" s="11" t="str">
        <x:f>IF(AND(O46="已完成",P46="通过",LEN(Q46)&gt;0,LEN(R46)&gt;0),"可计入",IF(O46="已取消","已取消","待证据"))</x:f>
        <x:v>待证据</x:v>
      </x:c>
      <x:c r="T46" s="11"/>
      <x:c r="U46" s="11"/>
      <x:c r="V46" s="11"/>
      <x:c r="W46" s="11" t="str">
        <x:v>算法：二叉树遍历</x:v>
      </x:c>
    </x:row>
    <x:row r="47" ht="45" customHeight="1">
      <x:c r="A47" s="11" t="n">
        <x:v>7</x:v>
      </x:c>
      <x:c r="B47" s="11" t="str">
        <x:v>2026-12-17</x:v>
      </x:c>
      <x:c r="C47" s="11" t="str">
        <x:v>四</x:v>
      </x:c>
      <x:c r="D47" s="11" t="str">
        <x:v>SC-0704</x:v>
      </x:c>
      <x:c r="E47" s="11" t="str">
        <x:v>Phase-07 库存核心</x:v>
      </x:c>
      <x:c r="F47" s="11" t="str">
        <x:v>Must</x:v>
      </x:c>
      <x:c r="G47" s="11" t="str">
        <x:v>开发/验证</x:v>
      </x:c>
      <x:c r="H47" s="11" t="str">
        <x:v>实现InventoryService并在事务内写库存流水</x:v>
      </x:c>
      <x:c r="I47" s="11" t="str">
        <x:v>InventoryService</x:v>
      </x:c>
      <x:c r="J47" s="11" t="str">
        <x:v>流水与库存变更同事务提交</x:v>
      </x:c>
      <x:c r="K47" s="11" t="str">
        <x:v>交易一致性</x:v>
      </x:c>
      <x:c r="L47" s="11" t="str">
        <x:v>核心路径先独立设计与实现；AI仅提示/审查，提交前能口述原理。</x:v>
      </x:c>
      <x:c r="M47" s="14" t="n">
        <x:v>1.5</x:v>
      </x:c>
      <x:c r="N47" s="16"/>
      <x:c r="O47" s="17" t="str">
        <x:v>未开始</x:v>
      </x:c>
      <x:c r="P47" s="17" t="str">
        <x:v>待验收</x:v>
      </x:c>
      <x:c r="Q47" s="17"/>
      <x:c r="R47" s="17"/>
      <x:c r="S47" s="11" t="str">
        <x:f>IF(AND(O47="已完成",P47="通过",LEN(Q47)&gt;0,LEN(R47)&gt;0),"可计入",IF(O47="已取消","已取消","待证据"))</x:f>
        <x:v>待证据</x:v>
      </x:c>
      <x:c r="T47" s="11"/>
      <x:c r="U47" s="11"/>
      <x:c r="V47" s="11"/>
      <x:c r="W47" s="11" t="str">
        <x:v>基础：并发、线程池、synchronized</x:v>
      </x:c>
    </x:row>
    <x:row r="48" ht="45" customHeight="1">
      <x:c r="A48" s="11" t="n">
        <x:v>7</x:v>
      </x:c>
      <x:c r="B48" s="11" t="str">
        <x:v>2026-12-18</x:v>
      </x:c>
      <x:c r="C48" s="11" t="str">
        <x:v>五</x:v>
      </x:c>
      <x:c r="D48" s="11" t="str">
        <x:v>SC-0705</x:v>
      </x:c>
      <x:c r="E48" s="11" t="str">
        <x:v>Phase-07 库存核心</x:v>
      </x:c>
      <x:c r="F48" s="11" t="str">
        <x:v>Must</x:v>
      </x:c>
      <x:c r="G48" s="11" t="str">
        <x:v>开发/验证</x:v>
      </x:c>
      <x:c r="H48" s="11" t="str">
        <x:v>用真实MySQL容器并发100次扣减10件库存，检查成功数、行数及流水而非只测接口200</x:v>
      </x:c>
      <x:c r="I48" s="11" t="str">
        <x:v>InventoryConcurrencyIT</x:v>
      </x:c>
      <x:c r="J48" s="11" t="str">
        <x:v>成功不超过10、库存不负且流水数量匹配</x:v>
      </x:c>
      <x:c r="K48" s="11" t="str">
        <x:v>交易一致性</x:v>
      </x:c>
      <x:c r="L48" s="11" t="str">
        <x:v>禁止通过Java单机锁作为正确性依据</x:v>
      </x:c>
      <x:c r="M48" s="14" t="n">
        <x:v>1</x:v>
      </x:c>
      <x:c r="N48" s="16"/>
      <x:c r="O48" s="17" t="str">
        <x:v>未开始</x:v>
      </x:c>
      <x:c r="P48" s="17" t="str">
        <x:v>待验收</x:v>
      </x:c>
      <x:c r="Q48" s="17"/>
      <x:c r="R48" s="17"/>
      <x:c r="S48" s="11" t="str">
        <x:f>IF(AND(O48="已完成",P48="通过",LEN(Q48)&gt;0,LEN(R48)&gt;0),"可计入",IF(O48="已取消","已取消","待证据"))</x:f>
        <x:v>待证据</x:v>
      </x:c>
      <x:c r="T48" s="11"/>
      <x:c r="U48" s="11"/>
      <x:c r="V48" s="11"/>
      <x:c r="W48" s="11" t="str">
        <x:v>算法：二叉树遍历</x:v>
      </x:c>
    </x:row>
    <x:row r="49" ht="45" customHeight="1">
      <x:c r="A49" s="11" t="n">
        <x:v>7</x:v>
      </x:c>
      <x:c r="B49" s="11" t="str">
        <x:v>2026-12-19</x:v>
      </x:c>
      <x:c r="C49" s="11" t="str">
        <x:v>六</x:v>
      </x:c>
      <x:c r="D49" s="11" t="str">
        <x:v>SC-0706</x:v>
      </x:c>
      <x:c r="E49" s="11" t="str">
        <x:v>Phase-07 库存核心</x:v>
      </x:c>
      <x:c r="F49" s="11" t="str">
        <x:v>Must</x:v>
      </x:c>
      <x:c r="G49" s="11" t="str">
        <x:v>设计/合同</x:v>
      </x:c>
      <x:c r="H49" s="11" t="str">
        <x:v>定义库存回补唯一业务事件，写重复补回保护和重放测试，先实现仅未支付取消场景</x:v>
      </x:c>
      <x:c r="I49" s="11" t="str">
        <x:v>InventoryService.restore + InventoryRestoreIT</x:v>
      </x:c>
      <x:c r="J49" s="11" t="str">
        <x:v>同一订单取消两次只回补一次</x:v>
      </x:c>
      <x:c r="K49" s="11" t="str">
        <x:v>交易一致性</x:v>
      </x:c>
      <x:c r="L49" s="11" t="str">
        <x:v>用订单状态作为约束；必要时单独去重唯一键</x:v>
      </x:c>
      <x:c r="M49" s="14" t="n">
        <x:v>2.5</x:v>
      </x:c>
      <x:c r="N49" s="16"/>
      <x:c r="O49" s="17" t="str">
        <x:v>未开始</x:v>
      </x:c>
      <x:c r="P49" s="17" t="str">
        <x:v>待验收</x:v>
      </x:c>
      <x:c r="Q49" s="17"/>
      <x:c r="R49" s="17"/>
      <x:c r="S49" s="11" t="str">
        <x:f>IF(AND(O49="已完成",P49="通过",LEN(Q49)&gt;0,LEN(R49)&gt;0),"可计入",IF(O49="已取消","已取消","待证据"))</x:f>
        <x:v>待证据</x:v>
      </x:c>
      <x:c r="T49" s="11"/>
      <x:c r="U49" s="11"/>
      <x:c r="V49" s="11"/>
      <x:c r="W49" s="11" t="str">
        <x:v>求职/返工缓冲或补测试</x:v>
      </x:c>
    </x:row>
    <x:row r="50" ht="45" customHeight="1">
      <x:c r="A50" s="11" t="n">
        <x:v>7</x:v>
      </x:c>
      <x:c r="B50" s="11" t="str">
        <x:v>2026-12-20</x:v>
      </x:c>
      <x:c r="C50" s="11" t="str">
        <x:v>日</x:v>
      </x:c>
      <x:c r="D50" s="11" t="str">
        <x:v>SC-0707</x:v>
      </x:c>
      <x:c r="E50" s="11" t="str">
        <x:v>Phase-07 库存核心</x:v>
      </x:c>
      <x:c r="F50" s="11" t="str">
        <x:v>Must</x:v>
      </x:c>
      <x:c r="G50" s="11" t="str">
        <x:v>缓冲/回归</x:v>
      </x:c>
      <x:c r="H50" s="11" t="str">
        <x:v>周缓冲：库存并发测试失败优先修复；整理乐观锁/悲观锁/条件更新ADR</x:v>
      </x:c>
      <x:c r="I50" s="11" t="str">
        <x:v>docs/adr/0003-stock-deduct.md</x:v>
      </x:c>
      <x:c r="J50" s="11" t="str">
        <x:v>能说明事务边界和竞争风险</x:v>
      </x:c>
      <x:c r="K50" s="11" t="str">
        <x:v>交易一致性</x:v>
      </x:c>
      <x:c r="L50" s="11" t="str">
        <x:v>核心路径先独立设计与实现；AI仅提示/审查，提交前能口述原理。</x:v>
      </x:c>
      <x:c r="M50" s="14" t="n">
        <x:v>0.5</x:v>
      </x:c>
      <x:c r="N50" s="16"/>
      <x:c r="O50" s="17" t="str">
        <x:v>未开始</x:v>
      </x:c>
      <x:c r="P50" s="17" t="str">
        <x:v>待验收</x:v>
      </x:c>
      <x:c r="Q50" s="17"/>
      <x:c r="R50" s="17"/>
      <x:c r="S50" s="11" t="str">
        <x:f>IF(AND(O50="已完成",P50="通过",LEN(Q50)&gt;0,LEN(R50)&gt;0),"可计入",IF(O50="已取消","已取消","待证据"))</x:f>
        <x:v>待证据</x:v>
      </x:c>
      <x:c r="T50" s="11"/>
      <x:c r="U50" s="11"/>
      <x:c r="V50" s="11"/>
      <x:c r="W50" s="11" t="str">
        <x:v>周复盘+证据归档</x:v>
      </x:c>
    </x:row>
    <x:row r="51" ht="45" customHeight="1">
      <x:c r="A51" s="11" t="n">
        <x:v>8</x:v>
      </x:c>
      <x:c r="B51" s="11" t="str">
        <x:v>2026-12-21</x:v>
      </x:c>
      <x:c r="C51" s="11" t="str">
        <x:v>一</x:v>
      </x:c>
      <x:c r="D51" s="11" t="str">
        <x:v>SC-0801</x:v>
      </x:c>
      <x:c r="E51" s="11" t="str">
        <x:v>Phase-08 下单核心</x:v>
      </x:c>
      <x:c r="F51" s="11" t="str">
        <x:v>Must</x:v>
      </x:c>
      <x:c r="G51" s="11" t="str">
        <x:v>设计/合同</x:v>
      </x:c>
      <x:c r="H51" s="11" t="str">
        <x:v>下单幂等专题A：画订单生命周期、同键重试时序，列出执行中/已成功/失败重试的规则</x:v>
      </x:c>
      <x:c r="I51" s="11" t="str">
        <x:v>docs/domain/order-states.md + docs/api/order-idempotency.md</x:v>
      </x:c>
      <x:c r="J51" s="11" t="str">
        <x:v>列出至少6种重试/状态竞争场景；确定409规则</x:v>
      </x:c>
      <x:c r="K51" s="11" t="str">
        <x:v>交易一致性</x:v>
      </x:c>
      <x:c r="L51" s="11" t="str">
        <x:v>不开始写框架代码，先自己画时序</x:v>
      </x:c>
      <x:c r="M51" s="14" t="n">
        <x:v>1.5</x:v>
      </x:c>
      <x:c r="N51" s="16"/>
      <x:c r="O51" s="17" t="str">
        <x:v>未开始</x:v>
      </x:c>
      <x:c r="P51" s="17" t="str">
        <x:v>待验收</x:v>
      </x:c>
      <x:c r="Q51" s="17"/>
      <x:c r="R51" s="17"/>
      <x:c r="S51" s="11" t="str">
        <x:f>IF(AND(O51="已完成",P51="通过",LEN(Q51)&gt;0,LEN(R51)&gt;0),"可计入",IF(O51="已取消","已取消","待证据"))</x:f>
        <x:v>待证据</x:v>
      </x:c>
      <x:c r="T51" s="11"/>
      <x:c r="U51" s="11"/>
      <x:c r="V51" s="11"/>
      <x:c r="W51" s="11" t="str">
        <x:v>算法：前缀和</x:v>
      </x:c>
    </x:row>
    <x:row r="52" ht="45" customHeight="1">
      <x:c r="A52" s="11" t="n">
        <x:v>8</x:v>
      </x:c>
      <x:c r="B52" s="11" t="str">
        <x:v>2026-12-22</x:v>
      </x:c>
      <x:c r="C52" s="11" t="str">
        <x:v>二</x:v>
      </x:c>
      <x:c r="D52" s="11" t="str">
        <x:v>SC-0802</x:v>
      </x:c>
      <x:c r="E52" s="11" t="str">
        <x:v>Phase-08 下单核心</x:v>
      </x:c>
      <x:c r="F52" s="11" t="str">
        <x:v>Must</x:v>
      </x:c>
      <x:c r="G52" s="11" t="str">
        <x:v>设计/合同</x:v>
      </x:c>
      <x:c r="H52" s="11" t="str">
        <x:v>下单幂等专题B：设计orders/order_items/request_dedup和请求摘要，确定事务唯一约束</x:v>
      </x:c>
      <x:c r="I52" s="11" t="str">
        <x:v>db/migration/V6__orders.sql + docs/db/order-erd.md</x:v>
      </x:c>
      <x:c r="J52" s="11" t="str">
        <x:v>去重表唯一(user_id,endpoint,key)与请求摘要规则清楚</x:v>
      </x:c>
      <x:c r="K52" s="11" t="str">
        <x:v>交易一致性</x:v>
      </x:c>
      <x:c r="L52" s="11" t="str">
        <x:v>不得把请求键仅存内存</x:v>
      </x:c>
      <x:c r="M52" s="14" t="n">
        <x:v>1.5</x:v>
      </x:c>
      <x:c r="N52" s="16"/>
      <x:c r="O52" s="17" t="str">
        <x:v>未开始</x:v>
      </x:c>
      <x:c r="P52" s="17" t="str">
        <x:v>待验收</x:v>
      </x:c>
      <x:c r="Q52" s="17"/>
      <x:c r="R52" s="17"/>
      <x:c r="S52" s="11" t="str">
        <x:f>IF(AND(O52="已完成",P52="通过",LEN(Q52)&gt;0,LEN(R52)&gt;0),"可计入",IF(O52="已取消","已取消","待证据"))</x:f>
        <x:v>待证据</x:v>
      </x:c>
      <x:c r="T52" s="11"/>
      <x:c r="U52" s="11"/>
      <x:c r="V52" s="11"/>
      <x:c r="W52" s="11" t="str">
        <x:v>基础：MySQL事务、隔离级别与MVCC</x:v>
      </x:c>
    </x:row>
    <x:row r="53" ht="45" customHeight="1">
      <x:c r="A53" s="11" t="n">
        <x:v>8</x:v>
      </x:c>
      <x:c r="B53" s="11" t="str">
        <x:v>2026-12-23</x:v>
      </x:c>
      <x:c r="C53" s="11" t="str">
        <x:v>三</x:v>
      </x:c>
      <x:c r="D53" s="11" t="str">
        <x:v>SC-0803</x:v>
      </x:c>
      <x:c r="E53" s="11" t="str">
        <x:v>Phase-08 下单核心</x:v>
      </x:c>
      <x:c r="F53" s="11" t="str">
        <x:v>Must</x:v>
      </x:c>
      <x:c r="G53" s="11" t="str">
        <x:v>开发/验证</x:v>
      </x:c>
      <x:c r="H53" s="11" t="str">
        <x:v>下单事务专题A：独立完成POST /api/v1/orders参数解析、服务端价格计算与非法商品校验</x:v>
      </x:c>
      <x:c r="I53" s="11" t="str">
        <x:v>order/api + order/application</x:v>
      </x:c>
      <x:c r="J53" s="11" t="str">
        <x:v>客户端篡改价格不生效、数量上限生效</x:v>
      </x:c>
      <x:c r="K53" s="11" t="str">
        <x:v>交易一致性</x:v>
      </x:c>
      <x:c r="L53" s="11" t="str">
        <x:v>核心业务逻辑禁止AI直接生成</x:v>
      </x:c>
      <x:c r="M53" s="14" t="n">
        <x:v>1.5</x:v>
      </x:c>
      <x:c r="N53" s="16"/>
      <x:c r="O53" s="17" t="str">
        <x:v>未开始</x:v>
      </x:c>
      <x:c r="P53" s="17" t="str">
        <x:v>待验收</x:v>
      </x:c>
      <x:c r="Q53" s="17"/>
      <x:c r="R53" s="17"/>
      <x:c r="S53" s="11" t="str">
        <x:f>IF(AND(O53="已完成",P53="通过",LEN(Q53)&gt;0,LEN(R53)&gt;0),"可计入",IF(O53="已取消","已取消","待证据"))</x:f>
        <x:v>待证据</x:v>
      </x:c>
      <x:c r="T53" s="11"/>
      <x:c r="U53" s="11"/>
      <x:c r="V53" s="11"/>
      <x:c r="W53" s="11" t="str">
        <x:v>算法：前缀和</x:v>
      </x:c>
    </x:row>
    <x:row r="54" ht="45" customHeight="1">
      <x:c r="A54" s="11" t="n">
        <x:v>8</x:v>
      </x:c>
      <x:c r="B54" s="11" t="str">
        <x:v>2026-12-24</x:v>
      </x:c>
      <x:c r="C54" s="11" t="str">
        <x:v>四</x:v>
      </x:c>
      <x:c r="D54" s="11" t="str">
        <x:v>SC-0804</x:v>
      </x:c>
      <x:c r="E54" s="11" t="str">
        <x:v>Phase-08 下单核心</x:v>
      </x:c>
      <x:c r="F54" s="11" t="str">
        <x:v>Must</x:v>
      </x:c>
      <x:c r="G54" s="11" t="str">
        <x:v>开发/验证</x:v>
      </x:c>
      <x:c r="H54" s="11" t="str">
        <x:v>下单事务专题B：把订单明细、库存条件扣减、流水放入同一MySQL事务并注入中途失败</x:v>
      </x:c>
      <x:c r="I54" s="11" t="str">
        <x:v>OrderCreateService + OrderCreateIT</x:v>
      </x:c>
      <x:c r="J54" s="11" t="str">
        <x:v>任一步失败均整体回滚，无孤儿订单</x:v>
      </x:c>
      <x:c r="K54" s="11" t="str">
        <x:v>交易一致性</x:v>
      </x:c>
      <x:c r="L54" s="11" t="str">
        <x:v>标记@Transactional代理边界</x:v>
      </x:c>
      <x:c r="M54" s="14" t="n">
        <x:v>1.5</x:v>
      </x:c>
      <x:c r="N54" s="16"/>
      <x:c r="O54" s="17" t="str">
        <x:v>未开始</x:v>
      </x:c>
      <x:c r="P54" s="17" t="str">
        <x:v>待验收</x:v>
      </x:c>
      <x:c r="Q54" s="17"/>
      <x:c r="R54" s="17"/>
      <x:c r="S54" s="11" t="str">
        <x:f>IF(AND(O54="已完成",P54="通过",LEN(Q54)&gt;0,LEN(R54)&gt;0),"可计入",IF(O54="已取消","已取消","待证据"))</x:f>
        <x:v>待证据</x:v>
      </x:c>
      <x:c r="T54" s="11"/>
      <x:c r="U54" s="11"/>
      <x:c r="V54" s="11"/>
      <x:c r="W54" s="11" t="str">
        <x:v>基础：MySQL事务、隔离级别与MVCC</x:v>
      </x:c>
    </x:row>
    <x:row r="55" ht="45" customHeight="1">
      <x:c r="A55" s="11" t="n">
        <x:v>8</x:v>
      </x:c>
      <x:c r="B55" s="11" t="str">
        <x:v>2026-12-25</x:v>
      </x:c>
      <x:c r="C55" s="11" t="str">
        <x:v>五</x:v>
      </x:c>
      <x:c r="D55" s="11" t="str">
        <x:v>SC-0805</x:v>
      </x:c>
      <x:c r="E55" s="11" t="str">
        <x:v>Phase-08 下单核心</x:v>
      </x:c>
      <x:c r="F55" s="11" t="str">
        <x:v>Must</x:v>
      </x:c>
      <x:c r="G55" s="11" t="str">
        <x:v>开发/验证</x:v>
      </x:c>
      <x:c r="H55" s="11" t="str">
        <x:v>下单幂等专题C：实现基于数据库唯一约束的Idempotency-Key领用、请求摘要和结果复用</x:v>
      </x:c>
      <x:c r="I55" s="11" t="str">
        <x:v>RequestDedupService + migration + IdempotencyIT</x:v>
      </x:c>
      <x:c r="J55" s="11" t="str">
        <x:v>相同键+相同参数最多建一单；同键不同参数409</x:v>
      </x:c>
      <x:c r="K55" s="11" t="str">
        <x:v>交易一致性</x:v>
      </x:c>
      <x:c r="L55" s="11" t="str">
        <x:v>跨实例不依赖内存锁；允许按验收拆至下周</x:v>
      </x:c>
      <x:c r="M55" s="14" t="n">
        <x:v>1</x:v>
      </x:c>
      <x:c r="N55" s="16"/>
      <x:c r="O55" s="17" t="str">
        <x:v>未开始</x:v>
      </x:c>
      <x:c r="P55" s="17" t="str">
        <x:v>待验收</x:v>
      </x:c>
      <x:c r="Q55" s="17"/>
      <x:c r="R55" s="17"/>
      <x:c r="S55" s="11" t="str">
        <x:f>IF(AND(O55="已完成",P55="通过",LEN(Q55)&gt;0,LEN(R55)&gt;0),"可计入",IF(O55="已取消","已取消","待证据"))</x:f>
        <x:v>待证据</x:v>
      </x:c>
      <x:c r="T55" s="11"/>
      <x:c r="U55" s="11"/>
      <x:c r="V55" s="11"/>
      <x:c r="W55" s="11" t="str">
        <x:v>算法：前缀和</x:v>
      </x:c>
    </x:row>
    <x:row r="56" ht="45" customHeight="1">
      <x:c r="A56" s="11" t="n">
        <x:v>8</x:v>
      </x:c>
      <x:c r="B56" s="11" t="str">
        <x:v>2026-12-26</x:v>
      </x:c>
      <x:c r="C56" s="11" t="str">
        <x:v>六</x:v>
      </x:c>
      <x:c r="D56" s="11" t="str">
        <x:v>SC-0806</x:v>
      </x:c>
      <x:c r="E56" s="11" t="str">
        <x:v>Phase-08 下单核心</x:v>
      </x:c>
      <x:c r="F56" s="11" t="str">
        <x:v>Must</x:v>
      </x:c>
      <x:c r="G56" s="11" t="str">
        <x:v>开发/验证</x:v>
      </x:c>
      <x:c r="H56" s="11" t="str">
        <x:v>下单幂等专题D：故障与并发验证，模拟相同键同时请求、超时重试、DB失败以及多商品其中一项库存不足</x:v>
      </x:c>
      <x:c r="I56" s="11" t="str">
        <x:v>OrderCreateConcurrencyIT + docs/faults/idempotency.md</x:v>
      </x:c>
      <x:c r="J56" s="11" t="str">
        <x:v>订单数/库存/幂等记录三方一致且测试可重复</x:v>
      </x:c>
      <x:c r="K56" s="11" t="str">
        <x:v>交易一致性</x:v>
      </x:c>
      <x:c r="L56" s="11" t="str">
        <x:v>使用Testcontainers隔离测试数据</x:v>
      </x:c>
      <x:c r="M56" s="14" t="n">
        <x:v>2.5</x:v>
      </x:c>
      <x:c r="N56" s="16"/>
      <x:c r="O56" s="17" t="str">
        <x:v>未开始</x:v>
      </x:c>
      <x:c r="P56" s="17" t="str">
        <x:v>待验收</x:v>
      </x:c>
      <x:c r="Q56" s="17"/>
      <x:c r="R56" s="17"/>
      <x:c r="S56" s="11" t="str">
        <x:f>IF(AND(O56="已完成",P56="通过",LEN(Q56)&gt;0,LEN(R56)&gt;0),"可计入",IF(O56="已取消","已取消","待证据"))</x:f>
        <x:v>待证据</x:v>
      </x:c>
      <x:c r="T56" s="11"/>
      <x:c r="U56" s="11"/>
      <x:c r="V56" s="11"/>
      <x:c r="W56" s="11" t="str">
        <x:v>求职/返工缓冲或补测试</x:v>
      </x:c>
    </x:row>
    <x:row r="57" ht="45" customHeight="1">
      <x:c r="A57" s="11" t="n">
        <x:v>8</x:v>
      </x:c>
      <x:c r="B57" s="11" t="str">
        <x:v>2026-12-27</x:v>
      </x:c>
      <x:c r="C57" s="11" t="str">
        <x:v>日</x:v>
      </x:c>
      <x:c r="D57" s="11" t="str">
        <x:v>SC-0807</x:v>
      </x:c>
      <x:c r="E57" s="11" t="str">
        <x:v>Phase-08 下单核心</x:v>
      </x:c>
      <x:c r="F57" s="11" t="str">
        <x:v>Must</x:v>
      </x:c>
      <x:c r="G57" s="11" t="str">
        <x:v>缓冲/回归</x:v>
      </x:c>
      <x:c r="H57" s="11" t="str">
        <x:v>周缓冲：解决第8周遗留的事务与幂等失败测试，绘制调用链；不强求新增功能</x:v>
      </x:c>
      <x:c r="I57" s="11" t="str">
        <x:v>docs/traces/order-create.md + docs/reviews/week08.md</x:v>
      </x:c>
      <x:c r="J57" s="11" t="str">
        <x:v>能在无AI状态解释事务、唯一键冲突和重试结果</x:v>
      </x:c>
      <x:c r="K57" s="11" t="str">
        <x:v>交易一致性</x:v>
      </x:c>
      <x:c r="L57" s="11" t="str">
        <x:v>若测试未全绿不可标记已完成</x:v>
      </x:c>
      <x:c r="M57" s="14" t="n">
        <x:v>0.5</x:v>
      </x:c>
      <x:c r="N57" s="16"/>
      <x:c r="O57" s="17" t="str">
        <x:v>未开始</x:v>
      </x:c>
      <x:c r="P57" s="17" t="str">
        <x:v>待验收</x:v>
      </x:c>
      <x:c r="Q57" s="17"/>
      <x:c r="R57" s="17"/>
      <x:c r="S57" s="11" t="str">
        <x:f>IF(AND(O57="已完成",P57="通过",LEN(Q57)&gt;0,LEN(R57)&gt;0),"可计入",IF(O57="已取消","已取消","待证据"))</x:f>
        <x:v>待证据</x:v>
      </x:c>
      <x:c r="T57" s="11"/>
      <x:c r="U57" s="11"/>
      <x:c r="V57" s="11"/>
      <x:c r="W57" s="11" t="str">
        <x:v>周复盘+证据归档</x:v>
      </x:c>
    </x:row>
    <x:row r="58" ht="45" customHeight="1">
      <x:c r="A58" s="11" t="n">
        <x:v>9</x:v>
      </x:c>
      <x:c r="B58" s="11" t="str">
        <x:v>2026-12-28</x:v>
      </x:c>
      <x:c r="C58" s="11" t="str">
        <x:v>一</x:v>
      </x:c>
      <x:c r="D58" s="11" t="str">
        <x:v>SC-0901</x:v>
      </x:c>
      <x:c r="E58" s="11" t="str">
        <x:v>Phase-09 支付模拟</x:v>
      </x:c>
      <x:c r="F58" s="11" t="str">
        <x:v>Must</x:v>
      </x:c>
      <x:c r="G58" s="11" t="str">
        <x:v>设计/合同</x:v>
      </x:c>
      <x:c r="H58" s="11" t="str">
        <x:v>写支付模拟边界：不收真实钱、不接生产支付账号</x:v>
      </x:c>
      <x:c r="I58" s="11" t="str">
        <x:v>docs/prd/payment-mock.md</x:v>
      </x:c>
      <x:c r="J58" s="11" t="str">
        <x:v>对外明确仅演示环境</x:v>
      </x:c>
      <x:c r="K58" s="11" t="str">
        <x:v>交易一致性</x:v>
      </x:c>
      <x:c r="L58" s="11" t="str">
        <x:v>核心路径先独立设计与实现；AI仅提示/审查，提交前能口述原理。</x:v>
      </x:c>
      <x:c r="M58" s="14" t="n">
        <x:v>1.5</x:v>
      </x:c>
      <x:c r="N58" s="16"/>
      <x:c r="O58" s="17" t="str">
        <x:v>未开始</x:v>
      </x:c>
      <x:c r="P58" s="17" t="str">
        <x:v>待验收</x:v>
      </x:c>
      <x:c r="Q58" s="17"/>
      <x:c r="R58" s="17"/>
      <x:c r="S58" s="11" t="str">
        <x:f>IF(AND(O58="已完成",P58="通过",LEN(Q58)&gt;0,LEN(R58)&gt;0),"可计入",IF(O58="已取消","已取消","待证据"))</x:f>
        <x:v>待证据</x:v>
      </x:c>
      <x:c r="T58" s="11"/>
      <x:c r="U58" s="11"/>
      <x:c r="V58" s="11"/>
      <x:c r="W58" s="11" t="str">
        <x:v>算法：滑动窗口</x:v>
      </x:c>
    </x:row>
    <x:row r="59" ht="45" customHeight="1">
      <x:c r="A59" s="11" t="n">
        <x:v>9</x:v>
      </x:c>
      <x:c r="B59" s="11" t="str">
        <x:v>2026-12-29</x:v>
      </x:c>
      <x:c r="C59" s="11" t="str">
        <x:v>二</x:v>
      </x:c>
      <x:c r="D59" s="11" t="str">
        <x:v>SC-0902</x:v>
      </x:c>
      <x:c r="E59" s="11" t="str">
        <x:v>Phase-09 支付模拟</x:v>
      </x:c>
      <x:c r="F59" s="11" t="str">
        <x:v>Must</x:v>
      </x:c>
      <x:c r="G59" s="11" t="str">
        <x:v>设计/合同</x:v>
      </x:c>
      <x:c r="H59" s="11" t="str">
        <x:v>设计mock_payments表与支付流水唯一号</x:v>
      </x:c>
      <x:c r="I59" s="11" t="str">
        <x:v>V7__payments.sql</x:v>
      </x:c>
      <x:c r="J59" s="11" t="str">
        <x:v>支付请求号不可重复</x:v>
      </x:c>
      <x:c r="K59" s="11" t="str">
        <x:v>交易一致性</x:v>
      </x:c>
      <x:c r="L59" s="11" t="str">
        <x:v>核心路径先独立设计与实现；AI仅提示/审查，提交前能口述原理。</x:v>
      </x:c>
      <x:c r="M59" s="14" t="n">
        <x:v>1.5</x:v>
      </x:c>
      <x:c r="N59" s="16"/>
      <x:c r="O59" s="17" t="str">
        <x:v>未开始</x:v>
      </x:c>
      <x:c r="P59" s="17" t="str">
        <x:v>待验收</x:v>
      </x:c>
      <x:c r="Q59" s="17"/>
      <x:c r="R59" s="17"/>
      <x:c r="S59" s="11" t="str">
        <x:f>IF(AND(O59="已完成",P59="通过",LEN(Q59)&gt;0,LEN(R59)&gt;0),"可计入",IF(O59="已取消","已取消","待证据"))</x:f>
        <x:v>待证据</x:v>
      </x:c>
      <x:c r="T59" s="11"/>
      <x:c r="U59" s="11"/>
      <x:c r="V59" s="11"/>
      <x:c r="W59" s="11" t="str">
        <x:v>基础：HTTP幂等、签名与重放</x:v>
      </x:c>
    </x:row>
    <x:row r="60" ht="45" customHeight="1">
      <x:c r="A60" s="11" t="n">
        <x:v>9</x:v>
      </x:c>
      <x:c r="B60" s="11" t="str">
        <x:v>2026-12-30</x:v>
      </x:c>
      <x:c r="C60" s="11" t="str">
        <x:v>三</x:v>
      </x:c>
      <x:c r="D60" s="11" t="str">
        <x:v>SC-0903</x:v>
      </x:c>
      <x:c r="E60" s="11" t="str">
        <x:v>Phase-09 支付模拟</x:v>
      </x:c>
      <x:c r="F60" s="11" t="str">
        <x:v>Must</x:v>
      </x:c>
      <x:c r="G60" s="11" t="str">
        <x:v>开发/验证</x:v>
      </x:c>
      <x:c r="H60" s="11" t="str">
        <x:v>实现POST /api/v1/mock-payments触发模拟支付成功/失败</x:v>
      </x:c>
      <x:c r="I60" s="11" t="str">
        <x:v>MockPaymentController</x:v>
      </x:c>
      <x:c r="J60" s="11" t="str">
        <x:v>只有订单拥有者可发起测试支付</x:v>
      </x:c>
      <x:c r="K60" s="11" t="str">
        <x:v>交易一致性</x:v>
      </x:c>
      <x:c r="L60" s="11" t="str">
        <x:v>核心路径先独立设计与实现；AI仅提示/审查，提交前能口述原理。</x:v>
      </x:c>
      <x:c r="M60" s="14" t="n">
        <x:v>1.5</x:v>
      </x:c>
      <x:c r="N60" s="16"/>
      <x:c r="O60" s="17" t="str">
        <x:v>未开始</x:v>
      </x:c>
      <x:c r="P60" s="17" t="str">
        <x:v>待验收</x:v>
      </x:c>
      <x:c r="Q60" s="17"/>
      <x:c r="R60" s="17"/>
      <x:c r="S60" s="11" t="str">
        <x:f>IF(AND(O60="已完成",P60="通过",LEN(Q60)&gt;0,LEN(R60)&gt;0),"可计入",IF(O60="已取消","已取消","待证据"))</x:f>
        <x:v>待证据</x:v>
      </x:c>
      <x:c r="T60" s="11"/>
      <x:c r="U60" s="11"/>
      <x:c r="V60" s="11"/>
      <x:c r="W60" s="11" t="str">
        <x:v>算法：滑动窗口</x:v>
      </x:c>
    </x:row>
    <x:row r="61" ht="45" customHeight="1">
      <x:c r="A61" s="11" t="n">
        <x:v>9</x:v>
      </x:c>
      <x:c r="B61" s="11" t="str">
        <x:v>2026-12-31</x:v>
      </x:c>
      <x:c r="C61" s="11" t="str">
        <x:v>四</x:v>
      </x:c>
      <x:c r="D61" s="11" t="str">
        <x:v>SC-0904</x:v>
      </x:c>
      <x:c r="E61" s="11" t="str">
        <x:v>Phase-09 支付模拟</x:v>
      </x:c>
      <x:c r="F61" s="11" t="str">
        <x:v>Must</x:v>
      </x:c>
      <x:c r="G61" s="11" t="str">
        <x:v>开发/验证</x:v>
      </x:c>
      <x:c r="H61" s="11" t="str">
        <x:v>本地模拟支付回调验签与重放防护：固定签名算法/密钥轮换规则，防时序乱序</x:v>
      </x:c>
      <x:c r="I61" s="11" t="str">
        <x:v>PaymentCallbackService + PaymentCallbackIT</x:v>
      </x:c>
      <x:c r="J61" s="11" t="str">
        <x:v>错误签名/重复回调拒绝或幂等，无真实支付凭据</x:v>
      </x:c>
      <x:c r="K61" s="11" t="str">
        <x:v>交易一致性</x:v>
      </x:c>
      <x:c r="L61" s="11" t="str">
        <x:v>模拟器专属密钥不复用登录密钥</x:v>
      </x:c>
      <x:c r="M61" s="14" t="n">
        <x:v>1.5</x:v>
      </x:c>
      <x:c r="N61" s="16"/>
      <x:c r="O61" s="17" t="str">
        <x:v>未开始</x:v>
      </x:c>
      <x:c r="P61" s="17" t="str">
        <x:v>待验收</x:v>
      </x:c>
      <x:c r="Q61" s="17"/>
      <x:c r="R61" s="17"/>
      <x:c r="S61" s="11" t="str">
        <x:f>IF(AND(O61="已完成",P61="通过",LEN(Q61)&gt;0,LEN(R61)&gt;0),"可计入",IF(O61="已取消","已取消","待证据"))</x:f>
        <x:v>待证据</x:v>
      </x:c>
      <x:c r="T61" s="11"/>
      <x:c r="U61" s="11"/>
      <x:c r="V61" s="11"/>
      <x:c r="W61" s="11" t="str">
        <x:v>基础：HTTP幂等、签名与重放</x:v>
      </x:c>
    </x:row>
    <x:row r="62" ht="45" customHeight="1">
      <x:c r="A62" s="11" t="n">
        <x:v>9</x:v>
      </x:c>
      <x:c r="B62" s="11" t="str">
        <x:v>2027-01-01</x:v>
      </x:c>
      <x:c r="C62" s="11" t="str">
        <x:v>五</x:v>
      </x:c>
      <x:c r="D62" s="11" t="str">
        <x:v>SC-0905</x:v>
      </x:c>
      <x:c r="E62" s="11" t="str">
        <x:v>Phase-09 支付模拟</x:v>
      </x:c>
      <x:c r="F62" s="11" t="str">
        <x:v>Must</x:v>
      </x:c>
      <x:c r="G62" s="11" t="str">
        <x:v>开发/验证</x:v>
      </x:c>
      <x:c r="H62" s="11" t="str">
        <x:v>支付成功只允许CREATED→PAID，使用条件更新</x:v>
      </x:c>
      <x:c r="I62" s="11" t="str">
        <x:v>OrderStateTransition</x:v>
      </x:c>
      <x:c r="J62" s="11" t="str">
        <x:v>重复回调不会重复改变状态</x:v>
      </x:c>
      <x:c r="K62" s="11" t="str">
        <x:v>交易一致性</x:v>
      </x:c>
      <x:c r="L62" s="11" t="str">
        <x:v>独立验收时使用L0/L1；AI只在验收后做复盘。</x:v>
      </x:c>
      <x:c r="M62" s="14" t="n">
        <x:v>1</x:v>
      </x:c>
      <x:c r="N62" s="16"/>
      <x:c r="O62" s="17" t="str">
        <x:v>未开始</x:v>
      </x:c>
      <x:c r="P62" s="17" t="str">
        <x:v>待验收</x:v>
      </x:c>
      <x:c r="Q62" s="17"/>
      <x:c r="R62" s="17"/>
      <x:c r="S62" s="11" t="str">
        <x:f>IF(AND(O62="已完成",P62="通过",LEN(Q62)&gt;0,LEN(R62)&gt;0),"可计入",IF(O62="已取消","已取消","待证据"))</x:f>
        <x:v>待证据</x:v>
      </x:c>
      <x:c r="T62" s="11"/>
      <x:c r="U62" s="11"/>
      <x:c r="V62" s="11"/>
      <x:c r="W62" s="11" t="str">
        <x:v>算法：滑动窗口</x:v>
      </x:c>
    </x:row>
    <x:row r="63" ht="45" customHeight="1">
      <x:c r="A63" s="11" t="n">
        <x:v>9</x:v>
      </x:c>
      <x:c r="B63" s="11" t="str">
        <x:v>2027-01-02</x:v>
      </x:c>
      <x:c r="C63" s="11" t="str">
        <x:v>六</x:v>
      </x:c>
      <x:c r="D63" s="11" t="str">
        <x:v>SC-0906</x:v>
      </x:c>
      <x:c r="E63" s="11" t="str">
        <x:v>Phase-09 支付模拟</x:v>
      </x:c>
      <x:c r="F63" s="11" t="str">
        <x:v>Must</x:v>
      </x:c>
      <x:c r="G63" s="11" t="str">
        <x:v>开发/验证</x:v>
      </x:c>
      <x:c r="H63" s="11" t="str">
        <x:v>模拟先失败后成功、重复回调、乱序回调</x:v>
      </x:c>
      <x:c r="I63" s="11" t="str">
        <x:v>PaymentCallbackIT</x:v>
      </x:c>
      <x:c r="J63" s="11" t="str">
        <x:v>状态机阻止非法变化并记录事件</x:v>
      </x:c>
      <x:c r="K63" s="11" t="str">
        <x:v>交易一致性</x:v>
      </x:c>
      <x:c r="L63" s="11" t="str">
        <x:v>核心路径先独立设计与实现；AI仅提示/审查，提交前能口述原理。</x:v>
      </x:c>
      <x:c r="M63" s="14" t="n">
        <x:v>2.5</x:v>
      </x:c>
      <x:c r="N63" s="16"/>
      <x:c r="O63" s="17" t="str">
        <x:v>未开始</x:v>
      </x:c>
      <x:c r="P63" s="17" t="str">
        <x:v>待验收</x:v>
      </x:c>
      <x:c r="Q63" s="17"/>
      <x:c r="R63" s="17"/>
      <x:c r="S63" s="11" t="str">
        <x:f>IF(AND(O63="已完成",P63="通过",LEN(Q63)&gt;0,LEN(R63)&gt;0),"可计入",IF(O63="已取消","已取消","待证据"))</x:f>
        <x:v>待证据</x:v>
      </x:c>
      <x:c r="T63" s="11"/>
      <x:c r="U63" s="11"/>
      <x:c r="V63" s="11"/>
      <x:c r="W63" s="11" t="str">
        <x:v>求职/返工缓冲或补测试</x:v>
      </x:c>
    </x:row>
    <x:row r="64" ht="45" customHeight="1">
      <x:c r="A64" s="11" t="n">
        <x:v>9</x:v>
      </x:c>
      <x:c r="B64" s="11" t="str">
        <x:v>2027-01-03</x:v>
      </x:c>
      <x:c r="C64" s="11" t="str">
        <x:v>日</x:v>
      </x:c>
      <x:c r="D64" s="11" t="str">
        <x:v>SC-0907</x:v>
      </x:c>
      <x:c r="E64" s="11" t="str">
        <x:v>Phase-09 支付模拟</x:v>
      </x:c>
      <x:c r="F64" s="11" t="str">
        <x:v>Must</x:v>
      </x:c>
      <x:c r="G64" s="11" t="str">
        <x:v>缓冲/回归</x:v>
      </x:c>
      <x:c r="H64" s="11" t="str">
        <x:v>补支付流程时序图和异常恢复Runbook</x:v>
      </x:c>
      <x:c r="I64" s="11" t="str">
        <x:v>docs/runbook/payment-mock.md</x:v>
      </x:c>
      <x:c r="J64" s="11" t="str">
        <x:v>可复现支付接口临时失败后的处理</x:v>
      </x:c>
      <x:c r="K64" s="11" t="str">
        <x:v>交易一致性</x:v>
      </x:c>
      <x:c r="L64" s="11" t="str">
        <x:v>核心路径先独立设计与实现；AI仅提示/审查，提交前能口述原理。</x:v>
      </x:c>
      <x:c r="M64" s="14" t="n">
        <x:v>0.5</x:v>
      </x:c>
      <x:c r="N64" s="16"/>
      <x:c r="O64" s="17" t="str">
        <x:v>未开始</x:v>
      </x:c>
      <x:c r="P64" s="17" t="str">
        <x:v>待验收</x:v>
      </x:c>
      <x:c r="Q64" s="17"/>
      <x:c r="R64" s="17"/>
      <x:c r="S64" s="11" t="str">
        <x:f>IF(AND(O64="已完成",P64="通过",LEN(Q64)&gt;0,LEN(R64)&gt;0),"可计入",IF(O64="已取消","已取消","待证据"))</x:f>
        <x:v>待证据</x:v>
      </x:c>
      <x:c r="T64" s="11"/>
      <x:c r="U64" s="11"/>
      <x:c r="V64" s="11"/>
      <x:c r="W64" s="11" t="str">
        <x:v>周复盘+证据归档</x:v>
      </x:c>
    </x:row>
    <x:row r="65" ht="45" customHeight="1">
      <x:c r="A65" s="11" t="n">
        <x:v>10</x:v>
      </x:c>
      <x:c r="B65" s="11" t="str">
        <x:v>2027-01-04</x:v>
      </x:c>
      <x:c r="C65" s="11" t="str">
        <x:v>一</x:v>
      </x:c>
      <x:c r="D65" s="11" t="str">
        <x:v>SC-1001</x:v>
      </x:c>
      <x:c r="E65" s="11" t="str">
        <x:v>Phase-10 取消与售后</x:v>
      </x:c>
      <x:c r="F65" s="11" t="str">
        <x:v>Must</x:v>
      </x:c>
      <x:c r="G65" s="11" t="str">
        <x:v>设计/合同</x:v>
      </x:c>
      <x:c r="H65" s="11" t="str">
        <x:v>定义取消时机与退款申请规则，明确哪些允许返库存</x:v>
      </x:c>
      <x:c r="I65" s="11" t="str">
        <x:v>docs/prd/after-sales.md</x:v>
      </x:c>
      <x:c r="J65" s="11" t="str">
        <x:v>取消已支付与未支付行为不同</x:v>
      </x:c>
      <x:c r="K65" s="11" t="str">
        <x:v>交易一致性</x:v>
      </x:c>
      <x:c r="L65" s="11" t="str">
        <x:v>核心路径先独立设计与实现；AI仅提示/审查，提交前能口述原理。</x:v>
      </x:c>
      <x:c r="M65" s="14" t="n">
        <x:v>1.5</x:v>
      </x:c>
      <x:c r="N65" s="16"/>
      <x:c r="O65" s="17" t="str">
        <x:v>未开始</x:v>
      </x:c>
      <x:c r="P65" s="17" t="str">
        <x:v>待验收</x:v>
      </x:c>
      <x:c r="Q65" s="17"/>
      <x:c r="R65" s="17"/>
      <x:c r="S65" s="11" t="str">
        <x:f>IF(AND(O65="已完成",P65="通过",LEN(Q65)&gt;0,LEN(R65)&gt;0),"可计入",IF(O65="已取消","已取消","待证据"))</x:f>
        <x:v>待证据</x:v>
      </x:c>
      <x:c r="T65" s="11"/>
      <x:c r="U65" s="11"/>
      <x:c r="V65" s="11"/>
      <x:c r="W65" s="11" t="str">
        <x:v>算法：哈希与栈</x:v>
      </x:c>
    </x:row>
    <x:row r="66" ht="45" customHeight="1">
      <x:c r="A66" s="11" t="n">
        <x:v>10</x:v>
      </x:c>
      <x:c r="B66" s="11" t="str">
        <x:v>2027-01-05</x:v>
      </x:c>
      <x:c r="C66" s="11" t="str">
        <x:v>二</x:v>
      </x:c>
      <x:c r="D66" s="11" t="str">
        <x:v>SC-1002</x:v>
      </x:c>
      <x:c r="E66" s="11" t="str">
        <x:v>Phase-10 取消与售后</x:v>
      </x:c>
      <x:c r="F66" s="11" t="str">
        <x:v>Must</x:v>
      </x:c>
      <x:c r="G66" s="11" t="str">
        <x:v>开发/验证</x:v>
      </x:c>
      <x:c r="H66" s="11" t="str">
        <x:v>实现未支付订单取消并补回库存（单事务）</x:v>
      </x:c>
      <x:c r="I66" s="11" t="str">
        <x:v>POST /orders/{id}/cancel</x:v>
      </x:c>
      <x:c r="J66" s="11" t="str">
        <x:v>重复取消不能重复返库存</x:v>
      </x:c>
      <x:c r="K66" s="11" t="str">
        <x:v>交易一致性</x:v>
      </x:c>
      <x:c r="L66" s="11" t="str">
        <x:v>核心路径先独立设计与实现；AI仅提示/审查，提交前能口述原理。</x:v>
      </x:c>
      <x:c r="M66" s="14" t="n">
        <x:v>1.5</x:v>
      </x:c>
      <x:c r="N66" s="16"/>
      <x:c r="O66" s="17" t="str">
        <x:v>未开始</x:v>
      </x:c>
      <x:c r="P66" s="17" t="str">
        <x:v>待验收</x:v>
      </x:c>
      <x:c r="Q66" s="17"/>
      <x:c r="R66" s="17"/>
      <x:c r="S66" s="11" t="str">
        <x:f>IF(AND(O66="已完成",P66="通过",LEN(Q66)&gt;0,LEN(R66)&gt;0),"可计入",IF(O66="已取消","已取消","待证据"))</x:f>
        <x:v>待证据</x:v>
      </x:c>
      <x:c r="T66" s="11"/>
      <x:c r="U66" s="11"/>
      <x:c r="V66" s="11"/>
      <x:c r="W66" s="11" t="str">
        <x:v>基础：锁/状态机/条件更新</x:v>
      </x:c>
    </x:row>
    <x:row r="67" ht="45" customHeight="1">
      <x:c r="A67" s="11" t="n">
        <x:v>10</x:v>
      </x:c>
      <x:c r="B67" s="11" t="str">
        <x:v>2027-01-06</x:v>
      </x:c>
      <x:c r="C67" s="11" t="str">
        <x:v>三</x:v>
      </x:c>
      <x:c r="D67" s="11" t="str">
        <x:v>SC-1003</x:v>
      </x:c>
      <x:c r="E67" s="11" t="str">
        <x:v>Phase-10 取消与售后</x:v>
      </x:c>
      <x:c r="F67" s="11" t="str">
        <x:v>Must</x:v>
      </x:c>
      <x:c r="G67" s="11" t="str">
        <x:v>设计/合同</x:v>
      </x:c>
      <x:c r="H67" s="11" t="str">
        <x:v>支付/取消竞争测试：条件状态更新并将退库存设计为仅成功取消可执行的副作用</x:v>
      </x:c>
      <x:c r="I67" s="11" t="str">
        <x:v>OrderTransitionMapper + CancelRaceIT</x:v>
      </x:c>
      <x:c r="J67" s="11" t="str">
        <x:v>并发200次后不出现双终态或双回补</x:v>
      </x:c>
      <x:c r="K67" s="11" t="str">
        <x:v>交易一致性</x:v>
      </x:c>
      <x:c r="L67" s="11" t="str">
        <x:v>不要提前在外部事务执行库存返还</x:v>
      </x:c>
      <x:c r="M67" s="14" t="n">
        <x:v>1.5</x:v>
      </x:c>
      <x:c r="N67" s="16"/>
      <x:c r="O67" s="17" t="str">
        <x:v>未开始</x:v>
      </x:c>
      <x:c r="P67" s="17" t="str">
        <x:v>待验收</x:v>
      </x:c>
      <x:c r="Q67" s="17"/>
      <x:c r="R67" s="17"/>
      <x:c r="S67" s="11" t="str">
        <x:f>IF(AND(O67="已完成",P67="通过",LEN(Q67)&gt;0,LEN(R67)&gt;0),"可计入",IF(O67="已取消","已取消","待证据"))</x:f>
        <x:v>待证据</x:v>
      </x:c>
      <x:c r="T67" s="11"/>
      <x:c r="U67" s="11"/>
      <x:c r="V67" s="11"/>
      <x:c r="W67" s="11" t="str">
        <x:v>算法：哈希与栈</x:v>
      </x:c>
    </x:row>
    <x:row r="68" ht="45" customHeight="1">
      <x:c r="A68" s="11" t="n">
        <x:v>10</x:v>
      </x:c>
      <x:c r="B68" s="11" t="str">
        <x:v>2027-01-07</x:v>
      </x:c>
      <x:c r="C68" s="11" t="str">
        <x:v>四</x:v>
      </x:c>
      <x:c r="D68" s="11" t="str">
        <x:v>SC-1004</x:v>
      </x:c>
      <x:c r="E68" s="11" t="str">
        <x:v>Phase-10 取消与售后</x:v>
      </x:c>
      <x:c r="F68" s="11" t="str">
        <x:v>Must</x:v>
      </x:c>
      <x:c r="G68" s="11" t="str">
        <x:v>设计/合同</x:v>
      </x:c>
      <x:c r="H68" s="11" t="str">
        <x:v>设计after_sale_tickets与工单状态，支持售后申请</x:v>
      </x:c>
      <x:c r="I68" s="11" t="str">
        <x:v>V8__after_sales.sql</x:v>
      </x:c>
      <x:c r="J68" s="11" t="str">
        <x:v>只有订单本人可申请售后</x:v>
      </x:c>
      <x:c r="K68" s="11" t="str">
        <x:v>交易一致性</x:v>
      </x:c>
      <x:c r="L68" s="11" t="str">
        <x:v>核心路径先独立设计与实现；AI仅提示/审查，提交前能口述原理。</x:v>
      </x:c>
      <x:c r="M68" s="14" t="n">
        <x:v>1.5</x:v>
      </x:c>
      <x:c r="N68" s="16"/>
      <x:c r="O68" s="17" t="str">
        <x:v>未开始</x:v>
      </x:c>
      <x:c r="P68" s="17" t="str">
        <x:v>待验收</x:v>
      </x:c>
      <x:c r="Q68" s="17"/>
      <x:c r="R68" s="17"/>
      <x:c r="S68" s="11" t="str">
        <x:f>IF(AND(O68="已完成",P68="通过",LEN(Q68)&gt;0,LEN(R68)&gt;0),"可计入",IF(O68="已取消","已取消","待证据"))</x:f>
        <x:v>待证据</x:v>
      </x:c>
      <x:c r="T68" s="11"/>
      <x:c r="U68" s="11"/>
      <x:c r="V68" s="11"/>
      <x:c r="W68" s="11" t="str">
        <x:v>基础：锁/状态机/条件更新</x:v>
      </x:c>
    </x:row>
    <x:row r="69" ht="45" customHeight="1">
      <x:c r="A69" s="11" t="n">
        <x:v>10</x:v>
      </x:c>
      <x:c r="B69" s="11" t="str">
        <x:v>2027-01-08</x:v>
      </x:c>
      <x:c r="C69" s="11" t="str">
        <x:v>五</x:v>
      </x:c>
      <x:c r="D69" s="11" t="str">
        <x:v>SC-1005</x:v>
      </x:c>
      <x:c r="E69" s="11" t="str">
        <x:v>Phase-10 取消与售后</x:v>
      </x:c>
      <x:c r="F69" s="11" t="str">
        <x:v>Must</x:v>
      </x:c>
      <x:c r="G69" s="11" t="str">
        <x:v>开发/验证</x:v>
      </x:c>
      <x:c r="H69" s="11" t="str">
        <x:v>实现售后工单提交、查询、客服审核（模拟）</x:v>
      </x:c>
      <x:c r="I69" s="11" t="str">
        <x:v>AfterSaleController</x:v>
      </x:c>
      <x:c r="J69" s="11" t="str">
        <x:v>USER不可直接将工单标记已处理</x:v>
      </x:c>
      <x:c r="K69" s="11" t="str">
        <x:v>交易一致性</x:v>
      </x:c>
      <x:c r="L69" s="11" t="str">
        <x:v>独立验收时使用L0/L1；AI只在验收后做复盘。</x:v>
      </x:c>
      <x:c r="M69" s="14" t="n">
        <x:v>1</x:v>
      </x:c>
      <x:c r="N69" s="16"/>
      <x:c r="O69" s="17" t="str">
        <x:v>未开始</x:v>
      </x:c>
      <x:c r="P69" s="17" t="str">
        <x:v>待验收</x:v>
      </x:c>
      <x:c r="Q69" s="17"/>
      <x:c r="R69" s="17"/>
      <x:c r="S69" s="11" t="str">
        <x:f>IF(AND(O69="已完成",P69="通过",LEN(Q69)&gt;0,LEN(R69)&gt;0),"可计入",IF(O69="已取消","已取消","待证据"))</x:f>
        <x:v>待证据</x:v>
      </x:c>
      <x:c r="T69" s="11"/>
      <x:c r="U69" s="11"/>
      <x:c r="V69" s="11"/>
      <x:c r="W69" s="11" t="str">
        <x:v>算法：哈希与栈</x:v>
      </x:c>
    </x:row>
    <x:row r="70" ht="45" customHeight="1">
      <x:c r="A70" s="11" t="n">
        <x:v>10</x:v>
      </x:c>
      <x:c r="B70" s="11" t="str">
        <x:v>2027-01-09</x:v>
      </x:c>
      <x:c r="C70" s="11" t="str">
        <x:v>六</x:v>
      </x:c>
      <x:c r="D70" s="11" t="str">
        <x:v>SC-1006</x:v>
      </x:c>
      <x:c r="E70" s="11" t="str">
        <x:v>Phase-10 取消与售后</x:v>
      </x:c>
      <x:c r="F70" s="11" t="str">
        <x:v>Must</x:v>
      </x:c>
      <x:c r="G70" s="11" t="str">
        <x:v>开发/验证</x:v>
      </x:c>
      <x:c r="H70" s="11" t="str">
        <x:v>编写取消、工单、支付竞争场景集成测试</x:v>
      </x:c>
      <x:c r="I70" s="11" t="str">
        <x:v>AfterSalesIT</x:v>
      </x:c>
      <x:c r="J70" s="11" t="str">
        <x:v>至少10条负向测试稳定通过</x:v>
      </x:c>
      <x:c r="K70" s="11" t="str">
        <x:v>交易一致性</x:v>
      </x:c>
      <x:c r="L70" s="11" t="str">
        <x:v>核心路径先独立设计与实现；AI仅提示/审查，提交前能口述原理。</x:v>
      </x:c>
      <x:c r="M70" s="14" t="n">
        <x:v>2.5</x:v>
      </x:c>
      <x:c r="N70" s="16"/>
      <x:c r="O70" s="17" t="str">
        <x:v>未开始</x:v>
      </x:c>
      <x:c r="P70" s="17" t="str">
        <x:v>待验收</x:v>
      </x:c>
      <x:c r="Q70" s="17"/>
      <x:c r="R70" s="17"/>
      <x:c r="S70" s="11" t="str">
        <x:f>IF(AND(O70="已完成",P70="通过",LEN(Q70)&gt;0,LEN(R70)&gt;0),"可计入",IF(O70="已取消","已取消","待证据"))</x:f>
        <x:v>待证据</x:v>
      </x:c>
      <x:c r="T70" s="11"/>
      <x:c r="U70" s="11"/>
      <x:c r="V70" s="11"/>
      <x:c r="W70" s="11" t="str">
        <x:v>求职/返工缓冲或补测试</x:v>
      </x:c>
    </x:row>
    <x:row r="71" ht="45" customHeight="1">
      <x:c r="A71" s="11" t="n">
        <x:v>10</x:v>
      </x:c>
      <x:c r="B71" s="11" t="str">
        <x:v>2027-01-10</x:v>
      </x:c>
      <x:c r="C71" s="11" t="str">
        <x:v>日</x:v>
      </x:c>
      <x:c r="D71" s="11" t="str">
        <x:v>SC-1007</x:v>
      </x:c>
      <x:c r="E71" s="11" t="str">
        <x:v>Phase-10 取消与售后</x:v>
      </x:c>
      <x:c r="F71" s="11" t="str">
        <x:v>Must</x:v>
      </x:c>
      <x:c r="G71" s="11" t="str">
        <x:v>缓冲/回归</x:v>
      </x:c>
      <x:c r="H71" s="11" t="str">
        <x:v>做一次完整业务演示：加购→下单→支付/取消→售后</x:v>
      </x:c>
      <x:c r="I71" s="11" t="str">
        <x:v>docs/demo/business-flow.md</x:v>
      </x:c>
      <x:c r="J71" s="11" t="str">
        <x:v>README有一键可复现脚本</x:v>
      </x:c>
      <x:c r="K71" s="11" t="str">
        <x:v>交易一致性</x:v>
      </x:c>
      <x:c r="L71" s="11" t="str">
        <x:v>核心路径先独立设计与实现；AI仅提示/审查，提交前能口述原理。</x:v>
      </x:c>
      <x:c r="M71" s="14" t="n">
        <x:v>0.5</x:v>
      </x:c>
      <x:c r="N71" s="16"/>
      <x:c r="O71" s="17" t="str">
        <x:v>未开始</x:v>
      </x:c>
      <x:c r="P71" s="17" t="str">
        <x:v>待验收</x:v>
      </x:c>
      <x:c r="Q71" s="17"/>
      <x:c r="R71" s="17"/>
      <x:c r="S71" s="11" t="str">
        <x:f>IF(AND(O71="已完成",P71="通过",LEN(Q71)&gt;0,LEN(R71)&gt;0),"可计入",IF(O71="已取消","已取消","待证据"))</x:f>
        <x:v>待证据</x:v>
      </x:c>
      <x:c r="T71" s="11"/>
      <x:c r="U71" s="11"/>
      <x:c r="V71" s="11"/>
      <x:c r="W71" s="11" t="str">
        <x:v>周复盘+证据归档</x:v>
      </x:c>
    </x:row>
    <x:row r="72" ht="45" customHeight="1">
      <x:c r="A72" s="11" t="n">
        <x:v>11</x:v>
      </x:c>
      <x:c r="B72" s="11" t="str">
        <x:v>2027-01-11</x:v>
      </x:c>
      <x:c r="C72" s="11" t="str">
        <x:v>一</x:v>
      </x:c>
      <x:c r="D72" s="11" t="str">
        <x:v>SC-1101</x:v>
      </x:c>
      <x:c r="E72" s="11" t="str">
        <x:v>Phase-11 框架深入</x:v>
      </x:c>
      <x:c r="F72" s="11" t="str">
        <x:v>Must</x:v>
      </x:c>
      <x:c r="G72" s="11" t="str">
        <x:v>设计/合同</x:v>
      </x:c>
      <x:c r="H72" s="11" t="str">
        <x:v>用代码依赖图找出过长Service、跨模块内部调用，设计模块边界合同</x:v>
      </x:c>
      <x:c r="I72" s="11" t="str">
        <x:v>docs/architecture/module-boundaries.md</x:v>
      </x:c>
      <x:c r="J72" s="11" t="str">
        <x:v>至少识别并修复一处不合理模块引用</x:v>
      </x:c>
      <x:c r="K72" s="11" t="str">
        <x:v>接口异常/数据边界</x:v>
      </x:c>
      <x:c r="L72" s="11" t="str">
        <x:v>理解架构约束而不是堆新框架</x:v>
      </x:c>
      <x:c r="M72" s="14" t="n">
        <x:v>1.5</x:v>
      </x:c>
      <x:c r="N72" s="16"/>
      <x:c r="O72" s="17" t="str">
        <x:v>未开始</x:v>
      </x:c>
      <x:c r="P72" s="17" t="str">
        <x:v>待验收</x:v>
      </x:c>
      <x:c r="Q72" s="17"/>
      <x:c r="R72" s="17"/>
      <x:c r="S72" s="11" t="str">
        <x:f>IF(AND(O72="已完成",P72="通过",LEN(Q72)&gt;0,LEN(R72)&gt;0),"可计入",IF(O72="已取消","已取消","待证据"))</x:f>
        <x:v>待证据</x:v>
      </x:c>
      <x:c r="T72" s="11"/>
      <x:c r="U72" s="11"/>
      <x:c r="V72" s="11"/>
      <x:c r="W72" s="11" t="str">
        <x:v>算法：树的深度搜索</x:v>
      </x:c>
    </x:row>
    <x:row r="73" ht="45" customHeight="1">
      <x:c r="A73" s="11" t="n">
        <x:v>11</x:v>
      </x:c>
      <x:c r="B73" s="11" t="str">
        <x:v>2027-01-12</x:v>
      </x:c>
      <x:c r="C73" s="11" t="str">
        <x:v>二</x:v>
      </x:c>
      <x:c r="D73" s="11" t="str">
        <x:v>SC-1102</x:v>
      </x:c>
      <x:c r="E73" s="11" t="str">
        <x:v>Phase-11 框架深入</x:v>
      </x:c>
      <x:c r="F73" s="11" t="str">
        <x:v>Must</x:v>
      </x:c>
      <x:c r="G73" s="11" t="str">
        <x:v>开发/验证</x:v>
      </x:c>
      <x:c r="H73" s="11" t="str">
        <x:v>为同类方法自调用事务失效写最小复现测试</x:v>
      </x:c>
      <x:c r="I73" s="11" t="str">
        <x:v>TransactionProxyTest</x:v>
      </x:c>
      <x:c r="J73" s="11" t="str">
        <x:v>先复现失败，再重构修复</x:v>
      </x:c>
      <x:c r="K73" s="11" t="str">
        <x:v>接口异常/数据边界</x:v>
      </x:c>
      <x:c r="L73" s="11" t="str">
        <x:v>核心路径先独立设计与实现；AI仅提示/审查，提交前能口述原理。</x:v>
      </x:c>
      <x:c r="M73" s="14" t="n">
        <x:v>1.5</x:v>
      </x:c>
      <x:c r="N73" s="16"/>
      <x:c r="O73" s="17" t="str">
        <x:v>未开始</x:v>
      </x:c>
      <x:c r="P73" s="17" t="str">
        <x:v>待验收</x:v>
      </x:c>
      <x:c r="Q73" s="17"/>
      <x:c r="R73" s="17"/>
      <x:c r="S73" s="11" t="str">
        <x:f>IF(AND(O73="已完成",P73="通过",LEN(Q73)&gt;0,LEN(R73)&gt;0),"可计入",IF(O73="已取消","已取消","待证据"))</x:f>
        <x:v>待证据</x:v>
      </x:c>
      <x:c r="T73" s="11"/>
      <x:c r="U73" s="11"/>
      <x:c r="V73" s="11"/>
      <x:c r="W73" s="11" t="str">
        <x:v>基础：Spring IoC/AOP/代理</x:v>
      </x:c>
    </x:row>
    <x:row r="74" ht="45" customHeight="1">
      <x:c r="A74" s="11" t="n">
        <x:v>11</x:v>
      </x:c>
      <x:c r="B74" s="11" t="str">
        <x:v>2027-01-13</x:v>
      </x:c>
      <x:c r="C74" s="11" t="str">
        <x:v>三</x:v>
      </x:c>
      <x:c r="D74" s="11" t="str">
        <x:v>SC-1103</x:v>
      </x:c>
      <x:c r="E74" s="11" t="str">
        <x:v>Phase-11 框架深入</x:v>
      </x:c>
      <x:c r="F74" s="11" t="str">
        <x:v>Must</x:v>
      </x:c>
      <x:c r="G74" s="11" t="str">
        <x:v>开发/验证</x:v>
      </x:c>
      <x:c r="H74" s="11" t="str">
        <x:v>对照日志追踪DispatcherServlet→Controller→Service→Mapper</x:v>
      </x:c>
      <x:c r="I74" s="11" t="str">
        <x:v>docs/traces/http-lifecycle.md</x:v>
      </x:c>
      <x:c r="J74" s="11" t="str">
        <x:v>能指出校验/拦截/异常转换位置</x:v>
      </x:c>
      <x:c r="K74" s="11" t="str">
        <x:v>接口异常/数据边界</x:v>
      </x:c>
      <x:c r="L74" s="11" t="str">
        <x:v>核心路径先独立设计与实现；AI仅提示/审查，提交前能口述原理。</x:v>
      </x:c>
      <x:c r="M74" s="14" t="n">
        <x:v>1.5</x:v>
      </x:c>
      <x:c r="N74" s="16"/>
      <x:c r="O74" s="17" t="str">
        <x:v>未开始</x:v>
      </x:c>
      <x:c r="P74" s="17" t="str">
        <x:v>待验收</x:v>
      </x:c>
      <x:c r="Q74" s="17"/>
      <x:c r="R74" s="17"/>
      <x:c r="S74" s="11" t="str">
        <x:f>IF(AND(O74="已完成",P74="通过",LEN(Q74)&gt;0,LEN(R74)&gt;0),"可计入",IF(O74="已取消","已取消","待证据"))</x:f>
        <x:v>待证据</x:v>
      </x:c>
      <x:c r="T74" s="11"/>
      <x:c r="U74" s="11"/>
      <x:c r="V74" s="11"/>
      <x:c r="W74" s="11" t="str">
        <x:v>算法：树的深度搜索</x:v>
      </x:c>
    </x:row>
    <x:row r="75" ht="45" customHeight="1">
      <x:c r="A75" s="11" t="n">
        <x:v>11</x:v>
      </x:c>
      <x:c r="B75" s="11" t="str">
        <x:v>2027-01-14</x:v>
      </x:c>
      <x:c r="C75" s="11" t="str">
        <x:v>四</x:v>
      </x:c>
      <x:c r="D75" s="11" t="str">
        <x:v>SC-1104</x:v>
      </x:c>
      <x:c r="E75" s="11" t="str">
        <x:v>Phase-11 框架深入</x:v>
      </x:c>
      <x:c r="F75" s="11" t="str">
        <x:v>Must</x:v>
      </x:c>
      <x:c r="G75" s="11" t="str">
        <x:v>开发/验证</x:v>
      </x:c>
      <x:c r="H75" s="11" t="str">
        <x:v>模拟不同异常类型与事务回滚规则，查验数据库</x:v>
      </x:c>
      <x:c r="I75" s="11" t="str">
        <x:v>TransactionRollbackIT</x:v>
      </x:c>
      <x:c r="J75" s="11" t="str">
        <x:v>所有重要写操作有明确回滚预期</x:v>
      </x:c>
      <x:c r="K75" s="11" t="str">
        <x:v>接口异常/数据边界</x:v>
      </x:c>
      <x:c r="L75" s="11" t="str">
        <x:v>核心路径先独立设计与实现；AI仅提示/审查，提交前能口述原理。</x:v>
      </x:c>
      <x:c r="M75" s="14" t="n">
        <x:v>1.5</x:v>
      </x:c>
      <x:c r="N75" s="16"/>
      <x:c r="O75" s="17" t="str">
        <x:v>未开始</x:v>
      </x:c>
      <x:c r="P75" s="17" t="str">
        <x:v>待验收</x:v>
      </x:c>
      <x:c r="Q75" s="17"/>
      <x:c r="R75" s="17"/>
      <x:c r="S75" s="11" t="str">
        <x:f>IF(AND(O75="已完成",P75="通过",LEN(Q75)&gt;0,LEN(R75)&gt;0),"可计入",IF(O75="已取消","已取消","待证据"))</x:f>
        <x:v>待证据</x:v>
      </x:c>
      <x:c r="T75" s="11"/>
      <x:c r="U75" s="11"/>
      <x:c r="V75" s="11"/>
      <x:c r="W75" s="11" t="str">
        <x:v>基础：Spring IoC/AOP/代理</x:v>
      </x:c>
    </x:row>
    <x:row r="76" ht="45" customHeight="1">
      <x:c r="A76" s="11" t="n">
        <x:v>11</x:v>
      </x:c>
      <x:c r="B76" s="11" t="str">
        <x:v>2027-01-15</x:v>
      </x:c>
      <x:c r="C76" s="11" t="str">
        <x:v>五</x:v>
      </x:c>
      <x:c r="D76" s="11" t="str">
        <x:v>SC-1105</x:v>
      </x:c>
      <x:c r="E76" s="11" t="str">
        <x:v>Phase-11 框架深入</x:v>
      </x:c>
      <x:c r="F76" s="11" t="str">
        <x:v>Must</x:v>
      </x:c>
      <x:c r="G76" s="11" t="str">
        <x:v>开发/验证</x:v>
      </x:c>
      <x:c r="H76" s="11" t="str">
        <x:v>统一错误码、traceId与API响应，避免暴露异常堆栈</x:v>
      </x:c>
      <x:c r="I76" s="11" t="str">
        <x:v>ApiExceptionHandler</x:v>
      </x:c>
      <x:c r="J76" s="11" t="str">
        <x:v>500只给客户端安全信息，内部日志可定位</x:v>
      </x:c>
      <x:c r="K76" s="11" t="str">
        <x:v>接口异常/数据边界</x:v>
      </x:c>
      <x:c r="L76" s="11" t="str">
        <x:v>独立验收时使用L0/L1；AI只在验收后做复盘。</x:v>
      </x:c>
      <x:c r="M76" s="14" t="n">
        <x:v>1</x:v>
      </x:c>
      <x:c r="N76" s="16"/>
      <x:c r="O76" s="17" t="str">
        <x:v>未开始</x:v>
      </x:c>
      <x:c r="P76" s="17" t="str">
        <x:v>待验收</x:v>
      </x:c>
      <x:c r="Q76" s="17"/>
      <x:c r="R76" s="17"/>
      <x:c r="S76" s="11" t="str">
        <x:f>IF(AND(O76="已完成",P76="通过",LEN(Q76)&gt;0,LEN(R76)&gt;0),"可计入",IF(O76="已取消","已取消","待证据"))</x:f>
        <x:v>待证据</x:v>
      </x:c>
      <x:c r="T76" s="11"/>
      <x:c r="U76" s="11"/>
      <x:c r="V76" s="11"/>
      <x:c r="W76" s="11" t="str">
        <x:v>算法：树的深度搜索</x:v>
      </x:c>
    </x:row>
    <x:row r="77" ht="45" customHeight="1">
      <x:c r="A77" s="11" t="n">
        <x:v>11</x:v>
      </x:c>
      <x:c r="B77" s="11" t="str">
        <x:v>2027-01-16</x:v>
      </x:c>
      <x:c r="C77" s="11" t="str">
        <x:v>六</x:v>
      </x:c>
      <x:c r="D77" s="11" t="str">
        <x:v>SC-1106</x:v>
      </x:c>
      <x:c r="E77" s="11" t="str">
        <x:v>Phase-11 框架深入</x:v>
      </x:c>
      <x:c r="F77" s="11" t="str">
        <x:v>Must</x:v>
      </x:c>
      <x:c r="G77" s="11" t="str">
        <x:v>开发/验证</x:v>
      </x:c>
      <x:c r="H77" s="11" t="str">
        <x:v>重构DTO映射与校验，防止实体字段意外暴露</x:v>
      </x:c>
      <x:c r="I77" s="11" t="str">
        <x:v>DTO Mapper/Validation</x:v>
      </x:c>
      <x:c r="J77" s="11" t="str">
        <x:v>返回JSON不包含内部成本、密码哈希</x:v>
      </x:c>
      <x:c r="K77" s="11" t="str">
        <x:v>接口异常/数据边界</x:v>
      </x:c>
      <x:c r="L77" s="11" t="str">
        <x:v>核心路径先独立设计与实现；AI仅提示/审查，提交前能口述原理。</x:v>
      </x:c>
      <x:c r="M77" s="14" t="n">
        <x:v>2.5</x:v>
      </x:c>
      <x:c r="N77" s="16"/>
      <x:c r="O77" s="17" t="str">
        <x:v>未开始</x:v>
      </x:c>
      <x:c r="P77" s="17" t="str">
        <x:v>待验收</x:v>
      </x:c>
      <x:c r="Q77" s="17"/>
      <x:c r="R77" s="17"/>
      <x:c r="S77" s="11" t="str">
        <x:f>IF(AND(O77="已完成",P77="通过",LEN(Q77)&gt;0,LEN(R77)&gt;0),"可计入",IF(O77="已取消","已取消","待证据"))</x:f>
        <x:v>待证据</x:v>
      </x:c>
      <x:c r="T77" s="11"/>
      <x:c r="U77" s="11"/>
      <x:c r="V77" s="11"/>
      <x:c r="W77" s="11" t="str">
        <x:v>求职/返工缓冲或补测试</x:v>
      </x:c>
    </x:row>
    <x:row r="78" ht="45" customHeight="1">
      <x:c r="A78" s="11" t="n">
        <x:v>11</x:v>
      </x:c>
      <x:c r="B78" s="11" t="str">
        <x:v>2027-01-17</x:v>
      </x:c>
      <x:c r="C78" s="11" t="str">
        <x:v>日</x:v>
      </x:c>
      <x:c r="D78" s="11" t="str">
        <x:v>SC-1107</x:v>
      </x:c>
      <x:c r="E78" s="11" t="str">
        <x:v>Phase-11 框架深入</x:v>
      </x:c>
      <x:c r="F78" s="11" t="str">
        <x:v>Must</x:v>
      </x:c>
      <x:c r="G78" s="11" t="str">
        <x:v>缓冲/回归</x:v>
      </x:c>
      <x:c r="H78" s="11" t="str">
        <x:v>增加ArchUnit或Spring Modulith最小模块依赖测试，并记录为何仍使用模块化单体</x:v>
      </x:c>
      <x:c r="I78" s="11" t="str">
        <x:v>ArchitectureDependencyTest + docs/adr/modular-monolith.md</x:v>
      </x:c>
      <x:c r="J78" s="11" t="str">
        <x:v>循环依赖或跨内部包访问导致自动化检查失败</x:v>
      </x:c>
      <x:c r="K78" s="11" t="str">
        <x:v>接口异常/数据边界</x:v>
      </x:c>
      <x:c r="L78" s="11" t="str">
        <x:v>仅一个简单依赖验证，不引入分布式复杂度</x:v>
      </x:c>
      <x:c r="M78" s="14" t="n">
        <x:v>0.5</x:v>
      </x:c>
      <x:c r="N78" s="16"/>
      <x:c r="O78" s="17" t="str">
        <x:v>未开始</x:v>
      </x:c>
      <x:c r="P78" s="17" t="str">
        <x:v>待验收</x:v>
      </x:c>
      <x:c r="Q78" s="17"/>
      <x:c r="R78" s="17"/>
      <x:c r="S78" s="11" t="str">
        <x:f>IF(AND(O78="已完成",P78="通过",LEN(Q78)&gt;0,LEN(R78)&gt;0),"可计入",IF(O78="已取消","已取消","待证据"))</x:f>
        <x:v>待证据</x:v>
      </x:c>
      <x:c r="T78" s="11"/>
      <x:c r="U78" s="11"/>
      <x:c r="V78" s="11"/>
      <x:c r="W78" s="11" t="str">
        <x:v>周复盘+证据归档</x:v>
      </x:c>
    </x:row>
    <x:row r="79" ht="45" customHeight="1">
      <x:c r="A79" s="11" t="n">
        <x:v>12</x:v>
      </x:c>
      <x:c r="B79" s="11" t="str">
        <x:v>2027-01-18</x:v>
      </x:c>
      <x:c r="C79" s="11" t="str">
        <x:v>一</x:v>
      </x:c>
      <x:c r="D79" s="11" t="str">
        <x:v>SC-1201</x:v>
      </x:c>
      <x:c r="E79" s="11" t="str">
        <x:v>Phase-12 测试和数据库演进</x:v>
      </x:c>
      <x:c r="F79" s="11" t="str">
        <x:v>Must</x:v>
      </x:c>
      <x:c r="G79" s="11" t="str">
        <x:v>设计/合同</x:v>
      </x:c>
      <x:c r="H79" s="11" t="str">
        <x:v>梳理测试金字塔，建立每种测试命名和目录约定</x:v>
      </x:c>
      <x:c r="I79" s="11" t="str">
        <x:v>docs/testing/strategy.md</x:v>
      </x:c>
      <x:c r="J79" s="11" t="str">
        <x:v>单测、集成、端到端范围清楚</x:v>
      </x:c>
      <x:c r="K79" s="11" t="str">
        <x:v>接口异常/数据边界</x:v>
      </x:c>
      <x:c r="L79" s="11" t="str">
        <x:v>核心路径先独立设计与实现；AI仅提示/审查，提交前能口述原理。</x:v>
      </x:c>
      <x:c r="M79" s="14" t="n">
        <x:v>1.5</x:v>
      </x:c>
      <x:c r="N79" s="16"/>
      <x:c r="O79" s="17" t="str">
        <x:v>未开始</x:v>
      </x:c>
      <x:c r="P79" s="17" t="str">
        <x:v>待验收</x:v>
      </x:c>
      <x:c r="Q79" s="17"/>
      <x:c r="R79" s="17"/>
      <x:c r="S79" s="11" t="str">
        <x:f>IF(AND(O79="已完成",P79="通过",LEN(Q79)&gt;0,LEN(R79)&gt;0),"可计入",IF(O79="已取消","已取消","待证据"))</x:f>
        <x:v>待证据</x:v>
      </x:c>
      <x:c r="T79" s="11"/>
      <x:c r="U79" s="11"/>
      <x:c r="V79" s="11"/>
      <x:c r="W79" s="11" t="str">
        <x:v>算法：二分与边界</x:v>
      </x:c>
    </x:row>
    <x:row r="80" ht="45" customHeight="1">
      <x:c r="A80" s="11" t="n">
        <x:v>12</x:v>
      </x:c>
      <x:c r="B80" s="11" t="str">
        <x:v>2027-01-19</x:v>
      </x:c>
      <x:c r="C80" s="11" t="str">
        <x:v>二</x:v>
      </x:c>
      <x:c r="D80" s="11" t="str">
        <x:v>SC-1202</x:v>
      </x:c>
      <x:c r="E80" s="11" t="str">
        <x:v>Phase-12 测试和数据库演进</x:v>
      </x:c>
      <x:c r="F80" s="11" t="str">
        <x:v>Must</x:v>
      </x:c>
      <x:c r="G80" s="11" t="str">
        <x:v>开发/验证</x:v>
      </x:c>
      <x:c r="H80" s="11" t="str">
        <x:v>引入Testcontainers MySQL，替代仅靠本机数据库的测试</x:v>
      </x:c>
      <x:c r="I80" s="11" t="str">
        <x:v>BaseMysqlIntegrationTest</x:v>
      </x:c>
      <x:c r="J80" s="11" t="str">
        <x:v>本机无预置数据库数据仍可运行测试</x:v>
      </x:c>
      <x:c r="K80" s="11" t="str">
        <x:v>接口异常/数据边界</x:v>
      </x:c>
      <x:c r="L80" s="11" t="str">
        <x:v>核心路径先独立设计与实现；AI仅提示/审查，提交前能口述原理。</x:v>
      </x:c>
      <x:c r="M80" s="14" t="n">
        <x:v>1.5</x:v>
      </x:c>
      <x:c r="N80" s="16"/>
      <x:c r="O80" s="17" t="str">
        <x:v>未开始</x:v>
      </x:c>
      <x:c r="P80" s="17" t="str">
        <x:v>待验收</x:v>
      </x:c>
      <x:c r="Q80" s="17"/>
      <x:c r="R80" s="17"/>
      <x:c r="S80" s="11" t="str">
        <x:f>IF(AND(O80="已完成",P80="通过",LEN(Q80)&gt;0,LEN(R80)&gt;0),"可计入",IF(O80="已取消","已取消","待证据"))</x:f>
        <x:v>待证据</x:v>
      </x:c>
      <x:c r="T80" s="11"/>
      <x:c r="U80" s="11"/>
      <x:c r="V80" s="11"/>
      <x:c r="W80" s="11" t="str">
        <x:v>基础：JUnit/Mockito/Testcontainers与迁移</x:v>
      </x:c>
    </x:row>
    <x:row r="81" ht="45" customHeight="1">
      <x:c r="A81" s="11" t="n">
        <x:v>12</x:v>
      </x:c>
      <x:c r="B81" s="11" t="str">
        <x:v>2027-01-20</x:v>
      </x:c>
      <x:c r="C81" s="11" t="str">
        <x:v>三</x:v>
      </x:c>
      <x:c r="D81" s="11" t="str">
        <x:v>SC-1203</x:v>
      </x:c>
      <x:c r="E81" s="11" t="str">
        <x:v>Phase-12 测试和数据库演进</x:v>
      </x:c>
      <x:c r="F81" s="11" t="str">
        <x:v>Must</x:v>
      </x:c>
      <x:c r="G81" s="11" t="str">
        <x:v>开发/验证</x:v>
      </x:c>
      <x:c r="H81" s="11" t="str">
        <x:v>为商品价格边界、取消、鉴权补参数化单测</x:v>
      </x:c>
      <x:c r="I81" s="11" t="str">
        <x:v>Catalog/Order/Auth tests</x:v>
      </x:c>
      <x:c r="J81" s="11" t="str">
        <x:v>重要边界均有至少一个失败断言</x:v>
      </x:c>
      <x:c r="K81" s="11" t="str">
        <x:v>接口异常/数据边界</x:v>
      </x:c>
      <x:c r="L81" s="11" t="str">
        <x:v>核心路径先独立设计与实现；AI仅提示/审查，提交前能口述原理。</x:v>
      </x:c>
      <x:c r="M81" s="14" t="n">
        <x:v>1.5</x:v>
      </x:c>
      <x:c r="N81" s="16"/>
      <x:c r="O81" s="17" t="str">
        <x:v>未开始</x:v>
      </x:c>
      <x:c r="P81" s="17" t="str">
        <x:v>待验收</x:v>
      </x:c>
      <x:c r="Q81" s="17"/>
      <x:c r="R81" s="17"/>
      <x:c r="S81" s="11" t="str">
        <x:f>IF(AND(O81="已完成",P81="通过",LEN(Q81)&gt;0,LEN(R81)&gt;0),"可计入",IF(O81="已取消","已取消","待证据"))</x:f>
        <x:v>待证据</x:v>
      </x:c>
      <x:c r="T81" s="11"/>
      <x:c r="U81" s="11"/>
      <x:c r="V81" s="11"/>
      <x:c r="W81" s="11" t="str">
        <x:v>算法：二分与边界</x:v>
      </x:c>
    </x:row>
    <x:row r="82" ht="45" customHeight="1">
      <x:c r="A82" s="11" t="n">
        <x:v>12</x:v>
      </x:c>
      <x:c r="B82" s="11" t="str">
        <x:v>2027-01-21</x:v>
      </x:c>
      <x:c r="C82" s="11" t="str">
        <x:v>四</x:v>
      </x:c>
      <x:c r="D82" s="11" t="str">
        <x:v>SC-1204</x:v>
      </x:c>
      <x:c r="E82" s="11" t="str">
        <x:v>Phase-12 测试和数据库演进</x:v>
      </x:c>
      <x:c r="F82" s="11" t="str">
        <x:v>Must</x:v>
      </x:c>
      <x:c r="G82" s="11" t="str">
        <x:v>开发/验证</x:v>
      </x:c>
      <x:c r="H82" s="11" t="str">
        <x:v>采用Expand-Migrate-Contract方式演练新订单字段：先加可空字段，再双版本兼容读取</x:v>
      </x:c>
      <x:c r="I82" s="11" t="str">
        <x:v>db/migration/V9__order_note.sql + docs/ops/schema-evolution.md</x:v>
      </x:c>
      <x:c r="J82" s="11" t="str">
        <x:v>旧版应用在扩展变更后仍能读写，无破坏性删字段</x:v>
      </x:c>
      <x:c r="K82" s="11" t="str">
        <x:v>接口异常/数据边界</x:v>
      </x:c>
      <x:c r="L82" s="11" t="str">
        <x:v>已发布迁移文件不得原地改写</x:v>
      </x:c>
      <x:c r="M82" s="14" t="n">
        <x:v>1.5</x:v>
      </x:c>
      <x:c r="N82" s="16"/>
      <x:c r="O82" s="17" t="str">
        <x:v>未开始</x:v>
      </x:c>
      <x:c r="P82" s="17" t="str">
        <x:v>待验收</x:v>
      </x:c>
      <x:c r="Q82" s="17"/>
      <x:c r="R82" s="17"/>
      <x:c r="S82" s="11" t="str">
        <x:f>IF(AND(O82="已完成",P82="通过",LEN(Q82)&gt;0,LEN(R82)&gt;0),"可计入",IF(O82="已取消","已取消","待证据"))</x:f>
        <x:v>待证据</x:v>
      </x:c>
      <x:c r="T82" s="11"/>
      <x:c r="U82" s="11"/>
      <x:c r="V82" s="11"/>
      <x:c r="W82" s="11" t="str">
        <x:v>基础：JUnit/Mockito/Testcontainers与迁移</x:v>
      </x:c>
    </x:row>
    <x:row r="83" ht="45" customHeight="1">
      <x:c r="A83" s="11" t="n">
        <x:v>12</x:v>
      </x:c>
      <x:c r="B83" s="11" t="str">
        <x:v>2027-01-22</x:v>
      </x:c>
      <x:c r="C83" s="11" t="str">
        <x:v>五</x:v>
      </x:c>
      <x:c r="D83" s="11" t="str">
        <x:v>SC-1205</x:v>
      </x:c>
      <x:c r="E83" s="11" t="str">
        <x:v>Phase-12 测试和数据库演进</x:v>
      </x:c>
      <x:c r="F83" s="11" t="str">
        <x:v>Must</x:v>
      </x:c>
      <x:c r="G83" s="11" t="str">
        <x:v>开发/验证</x:v>
      </x:c>
      <x:c r="H83" s="11" t="str">
        <x:v>模拟数据库迁移失败与应用回滚：区分回滚代码、数据向前兼容和备份恢复</x:v>
      </x:c>
      <x:c r="I83" s="11" t="str">
        <x:v>docs/ops/migration-failure.md</x:v>
      </x:c>
      <x:c r="J83" s="11" t="str">
        <x:v>留下失败日志、恢复步骤、冒烟测试结果</x:v>
      </x:c>
      <x:c r="K83" s="11" t="str">
        <x:v>接口异常/数据边界</x:v>
      </x:c>
      <x:c r="L83" s="11" t="str">
        <x:v>不能承诺无损自动回滚DDL</x:v>
      </x:c>
      <x:c r="M83" s="14" t="n">
        <x:v>1</x:v>
      </x:c>
      <x:c r="N83" s="16"/>
      <x:c r="O83" s="17" t="str">
        <x:v>未开始</x:v>
      </x:c>
      <x:c r="P83" s="17" t="str">
        <x:v>待验收</x:v>
      </x:c>
      <x:c r="Q83" s="17"/>
      <x:c r="R83" s="17"/>
      <x:c r="S83" s="11" t="str">
        <x:f>IF(AND(O83="已完成",P83="通过",LEN(Q83)&gt;0,LEN(R83)&gt;0),"可计入",IF(O83="已取消","已取消","待证据"))</x:f>
        <x:v>待证据</x:v>
      </x:c>
      <x:c r="T83" s="11"/>
      <x:c r="U83" s="11"/>
      <x:c r="V83" s="11"/>
      <x:c r="W83" s="11" t="str">
        <x:v>算法：二分与边界</x:v>
      </x:c>
    </x:row>
    <x:row r="84" ht="45" customHeight="1">
      <x:c r="A84" s="11" t="n">
        <x:v>12</x:v>
      </x:c>
      <x:c r="B84" s="11" t="str">
        <x:v>2027-01-23</x:v>
      </x:c>
      <x:c r="C84" s="11" t="str">
        <x:v>六</x:v>
      </x:c>
      <x:c r="D84" s="11" t="str">
        <x:v>SC-1206</x:v>
      </x:c>
      <x:c r="E84" s="11" t="str">
        <x:v>Phase-12 测试和数据库演进</x:v>
      </x:c>
      <x:c r="F84" s="11" t="str">
        <x:v>Must</x:v>
      </x:c>
      <x:c r="G84" s="11" t="str">
        <x:v>开发/验证</x:v>
      </x:c>
      <x:c r="H84" s="11" t="str">
        <x:v>创建GitHub Actions或等价CI执行mvn test和静态检查</x:v>
      </x:c>
      <x:c r="I84" s="11" t="str">
        <x:v>.github/workflows/ci.yml</x:v>
      </x:c>
      <x:c r="J84" s="11" t="str">
        <x:v>推送PR后自动验证并显示状态</x:v>
      </x:c>
      <x:c r="K84" s="11" t="str">
        <x:v>接口异常/数据边界</x:v>
      </x:c>
      <x:c r="L84" s="11" t="str">
        <x:v>核心路径先独立设计与实现；AI仅提示/审查，提交前能口述原理。</x:v>
      </x:c>
      <x:c r="M84" s="14" t="n">
        <x:v>2.5</x:v>
      </x:c>
      <x:c r="N84" s="16"/>
      <x:c r="O84" s="17" t="str">
        <x:v>未开始</x:v>
      </x:c>
      <x:c r="P84" s="17" t="str">
        <x:v>待验收</x:v>
      </x:c>
      <x:c r="Q84" s="17"/>
      <x:c r="R84" s="17"/>
      <x:c r="S84" s="11" t="str">
        <x:f>IF(AND(O84="已完成",P84="通过",LEN(Q84)&gt;0,LEN(R84)&gt;0),"可计入",IF(O84="已取消","已取消","待证据"))</x:f>
        <x:v>待证据</x:v>
      </x:c>
      <x:c r="T84" s="11"/>
      <x:c r="U84" s="11"/>
      <x:c r="V84" s="11"/>
      <x:c r="W84" s="11" t="str">
        <x:v>求职/返工缓冲或补测试</x:v>
      </x:c>
    </x:row>
    <x:row r="85" ht="45" customHeight="1">
      <x:c r="A85" s="11" t="n">
        <x:v>12</x:v>
      </x:c>
      <x:c r="B85" s="11" t="str">
        <x:v>2027-01-24</x:v>
      </x:c>
      <x:c r="C85" s="11" t="str">
        <x:v>日</x:v>
      </x:c>
      <x:c r="D85" s="11" t="str">
        <x:v>SC-1207</x:v>
      </x:c>
      <x:c r="E85" s="11" t="str">
        <x:v>Phase-12 测试和数据库演进</x:v>
      </x:c>
      <x:c r="F85" s="11" t="str">
        <x:v>Must</x:v>
      </x:c>
      <x:c r="G85" s="11" t="str">
        <x:v>缓冲/回归</x:v>
      </x:c>
      <x:c r="H85" s="11" t="str">
        <x:v>周缓冲：在全新环境跑CI并处理不稳定测试，不增加功能</x:v>
      </x:c>
      <x:c r="I85" s="11" t="str">
        <x:v>docs/evidence/week12.md</x:v>
      </x:c>
      <x:c r="J85" s="11" t="str">
        <x:v>CI绿色且部署脚本不依赖私人路径</x:v>
      </x:c>
      <x:c r="K85" s="11" t="str">
        <x:v>接口异常/数据边界</x:v>
      </x:c>
      <x:c r="L85" s="11" t="str">
        <x:v>核心路径先独立设计与实现；AI仅提示/审查，提交前能口述原理。</x:v>
      </x:c>
      <x:c r="M85" s="14" t="n">
        <x:v>0.5</x:v>
      </x:c>
      <x:c r="N85" s="16"/>
      <x:c r="O85" s="17" t="str">
        <x:v>未开始</x:v>
      </x:c>
      <x:c r="P85" s="17" t="str">
        <x:v>待验收</x:v>
      </x:c>
      <x:c r="Q85" s="17"/>
      <x:c r="R85" s="17"/>
      <x:c r="S85" s="11" t="str">
        <x:f>IF(AND(O85="已完成",P85="通过",LEN(Q85)&gt;0,LEN(R85)&gt;0),"可计入",IF(O85="已取消","已取消","待证据"))</x:f>
        <x:v>待证据</x:v>
      </x:c>
      <x:c r="T85" s="11"/>
      <x:c r="U85" s="11"/>
      <x:c r="V85" s="11"/>
      <x:c r="W85" s="11" t="str">
        <x:v>周复盘+证据归档</x:v>
      </x:c>
    </x:row>
    <x:row r="86" ht="45" customHeight="1">
      <x:c r="A86" s="11" t="n">
        <x:v>13</x:v>
      </x:c>
      <x:c r="B86" s="11" t="str">
        <x:v>2027-01-25</x:v>
      </x:c>
      <x:c r="C86" s="11" t="str">
        <x:v>一</x:v>
      </x:c>
      <x:c r="D86" s="11" t="str">
        <x:v>SC-1301</x:v>
      </x:c>
      <x:c r="E86" s="11" t="str">
        <x:v>Phase-13 Redis缓存</x:v>
      </x:c>
      <x:c r="F86" s="11" t="str">
        <x:v>Must</x:v>
      </x:c>
      <x:c r="G86" s="11" t="str">
        <x:v>设计/合同</x:v>
      </x:c>
      <x:c r="H86" s="11" t="str">
        <x:v>提出商品查询缓存需求和一致性要求，记录读取链路</x:v>
      </x:c>
      <x:c r="I86" s="11" t="str">
        <x:v>docs/adr/0005-cache.md</x:v>
      </x:c>
      <x:c r="J86" s="11" t="str">
        <x:v>说明为什么缓存商品而不缓存订单真值</x:v>
      </x:c>
      <x:c r="K86" s="11" t="str">
        <x:v>接口异常/数据边界</x:v>
      </x:c>
      <x:c r="L86" s="11" t="str">
        <x:v>核心路径先独立设计与实现；AI仅提示/审查，提交前能口述原理。</x:v>
      </x:c>
      <x:c r="M86" s="14" t="n">
        <x:v>1.5</x:v>
      </x:c>
      <x:c r="N86" s="16"/>
      <x:c r="O86" s="17" t="str">
        <x:v>未开始</x:v>
      </x:c>
      <x:c r="P86" s="17" t="str">
        <x:v>待验收</x:v>
      </x:c>
      <x:c r="Q86" s="17"/>
      <x:c r="R86" s="17"/>
      <x:c r="S86" s="11" t="str">
        <x:f>IF(AND(O86="已完成",P86="通过",LEN(Q86)&gt;0,LEN(R86)&gt;0),"可计入",IF(O86="已取消","已取消","待证据"))</x:f>
        <x:v>待证据</x:v>
      </x:c>
      <x:c r="T86" s="11"/>
      <x:c r="U86" s="11"/>
      <x:c r="V86" s="11"/>
      <x:c r="W86" s="11" t="str">
        <x:v>算法：滑动窗口</x:v>
      </x:c>
    </x:row>
    <x:row r="87" ht="45" customHeight="1">
      <x:c r="A87" s="11" t="n">
        <x:v>13</x:v>
      </x:c>
      <x:c r="B87" s="11" t="str">
        <x:v>2027-01-26</x:v>
      </x:c>
      <x:c r="C87" s="11" t="str">
        <x:v>二</x:v>
      </x:c>
      <x:c r="D87" s="11" t="str">
        <x:v>SC-1302</x:v>
      </x:c>
      <x:c r="E87" s="11" t="str">
        <x:v>Phase-13 Redis缓存</x:v>
      </x:c>
      <x:c r="F87" s="11" t="str">
        <x:v>Must</x:v>
      </x:c>
      <x:c r="G87" s="11" t="str">
        <x:v>开发/验证</x:v>
      </x:c>
      <x:c r="H87" s="11" t="str">
        <x:v>接入Redis，规范Key命名和TTL，在本地compose启动</x:v>
      </x:c>
      <x:c r="I87" s="11" t="str">
        <x:v>RedisConfig + compose</x:v>
      </x:c>
      <x:c r="J87" s="11" t="str">
        <x:v>Redis不可用时有可预期行为</x:v>
      </x:c>
      <x:c r="K87" s="11" t="str">
        <x:v>接口异常/数据边界</x:v>
      </x:c>
      <x:c r="L87" s="11" t="str">
        <x:v>核心路径先独立设计与实现；AI仅提示/审查，提交前能口述原理。</x:v>
      </x:c>
      <x:c r="M87" s="14" t="n">
        <x:v>1.5</x:v>
      </x:c>
      <x:c r="N87" s="16"/>
      <x:c r="O87" s="17" t="str">
        <x:v>未开始</x:v>
      </x:c>
      <x:c r="P87" s="17" t="str">
        <x:v>待验收</x:v>
      </x:c>
      <x:c r="Q87" s="17"/>
      <x:c r="R87" s="17"/>
      <x:c r="S87" s="11" t="str">
        <x:f>IF(AND(O87="已完成",P87="通过",LEN(Q87)&gt;0,LEN(R87)&gt;0),"可计入",IF(O87="已取消","已取消","待证据"))</x:f>
        <x:v>待证据</x:v>
      </x:c>
      <x:c r="T87" s="11"/>
      <x:c r="U87" s="11"/>
      <x:c r="V87" s="11"/>
      <x:c r="W87" s="11" t="str">
        <x:v>基础：Redis缓存与过期策略</x:v>
      </x:c>
    </x:row>
    <x:row r="88" ht="45" customHeight="1">
      <x:c r="A88" s="11" t="n">
        <x:v>13</x:v>
      </x:c>
      <x:c r="B88" s="11" t="str">
        <x:v>2027-01-27</x:v>
      </x:c>
      <x:c r="C88" s="11" t="str">
        <x:v>三</x:v>
      </x:c>
      <x:c r="D88" s="11" t="str">
        <x:v>SC-1303</x:v>
      </x:c>
      <x:c r="E88" s="11" t="str">
        <x:v>Phase-13 Redis缓存</x:v>
      </x:c>
      <x:c r="F88" s="11" t="str">
        <x:v>Must</x:v>
      </x:c>
      <x:c r="G88" s="11" t="str">
        <x:v>开发/验证</x:v>
      </x:c>
      <x:c r="H88" s="11" t="str">
        <x:v>实现商品详情Cache-Aside读取与缓存序列化</x:v>
      </x:c>
      <x:c r="I88" s="11" t="str">
        <x:v>CatalogCacheService</x:v>
      </x:c>
      <x:c r="J88" s="11" t="str">
        <x:v>第二次查询有命中日志但不泄密</x:v>
      </x:c>
      <x:c r="K88" s="11" t="str">
        <x:v>接口异常/数据边界</x:v>
      </x:c>
      <x:c r="L88" s="11" t="str">
        <x:v>核心路径先独立设计与实现；AI仅提示/审查，提交前能口述原理。</x:v>
      </x:c>
      <x:c r="M88" s="14" t="n">
        <x:v>1.5</x:v>
      </x:c>
      <x:c r="N88" s="16"/>
      <x:c r="O88" s="17" t="str">
        <x:v>未开始</x:v>
      </x:c>
      <x:c r="P88" s="17" t="str">
        <x:v>待验收</x:v>
      </x:c>
      <x:c r="Q88" s="17"/>
      <x:c r="R88" s="17"/>
      <x:c r="S88" s="11" t="str">
        <x:f>IF(AND(O88="已完成",P88="通过",LEN(Q88)&gt;0,LEN(R88)&gt;0),"可计入",IF(O88="已取消","已取消","待证据"))</x:f>
        <x:v>待证据</x:v>
      </x:c>
      <x:c r="T88" s="11"/>
      <x:c r="U88" s="11"/>
      <x:c r="V88" s="11"/>
      <x:c r="W88" s="11" t="str">
        <x:v>算法：滑动窗口</x:v>
      </x:c>
    </x:row>
    <x:row r="89" ht="45" customHeight="1">
      <x:c r="A89" s="11" t="n">
        <x:v>13</x:v>
      </x:c>
      <x:c r="B89" s="11" t="str">
        <x:v>2027-01-28</x:v>
      </x:c>
      <x:c r="C89" s="11" t="str">
        <x:v>四</x:v>
      </x:c>
      <x:c r="D89" s="11" t="str">
        <x:v>SC-1304</x:v>
      </x:c>
      <x:c r="E89" s="11" t="str">
        <x:v>Phase-13 Redis缓存</x:v>
      </x:c>
      <x:c r="F89" s="11" t="str">
        <x:v>Must</x:v>
      </x:c>
      <x:c r="G89" s="11" t="str">
        <x:v>开发/验证</x:v>
      </x:c>
      <x:c r="H89" s="11" t="str">
        <x:v>商品修改后删除缓存，写数据库失败不清理业务状态</x:v>
      </x:c>
      <x:c r="I89" s="11" t="str">
        <x:v>ProductUpdateService</x:v>
      </x:c>
      <x:c r="J89" s="11" t="str">
        <x:v>更新后返回新值且旧缓存不过期不长期脏读</x:v>
      </x:c>
      <x:c r="K89" s="11" t="str">
        <x:v>接口异常/数据边界</x:v>
      </x:c>
      <x:c r="L89" s="11" t="str">
        <x:v>核心路径先独立设计与实现；AI仅提示/审查，提交前能口述原理。</x:v>
      </x:c>
      <x:c r="M89" s="14" t="n">
        <x:v>1.5</x:v>
      </x:c>
      <x:c r="N89" s="16"/>
      <x:c r="O89" s="17" t="str">
        <x:v>未开始</x:v>
      </x:c>
      <x:c r="P89" s="17" t="str">
        <x:v>待验收</x:v>
      </x:c>
      <x:c r="Q89" s="17"/>
      <x:c r="R89" s="17"/>
      <x:c r="S89" s="11" t="str">
        <x:f>IF(AND(O89="已完成",P89="通过",LEN(Q89)&gt;0,LEN(R89)&gt;0),"可计入",IF(O89="已取消","已取消","待证据"))</x:f>
        <x:v>待证据</x:v>
      </x:c>
      <x:c r="T89" s="11"/>
      <x:c r="U89" s="11"/>
      <x:c r="V89" s="11"/>
      <x:c r="W89" s="11" t="str">
        <x:v>基础：Redis缓存与过期策略</x:v>
      </x:c>
    </x:row>
    <x:row r="90" ht="45" customHeight="1">
      <x:c r="A90" s="11" t="n">
        <x:v>13</x:v>
      </x:c>
      <x:c r="B90" s="11" t="str">
        <x:v>2027-01-29</x:v>
      </x:c>
      <x:c r="C90" s="11" t="str">
        <x:v>五</x:v>
      </x:c>
      <x:c r="D90" s="11" t="str">
        <x:v>SC-1305</x:v>
      </x:c>
      <x:c r="E90" s="11" t="str">
        <x:v>Phase-13 Redis缓存</x:v>
      </x:c>
      <x:c r="F90" s="11" t="str">
        <x:v>Must</x:v>
      </x:c>
      <x:c r="G90" s="11" t="str">
        <x:v>开发/验证</x:v>
      </x:c>
      <x:c r="H90" s="11" t="str">
        <x:v>为不存在商品处理缓存穿透，设置短TTL与空值策略</x:v>
      </x:c>
      <x:c r="I90" s="11" t="str">
        <x:v>CatalogCacheService</x:v>
      </x:c>
      <x:c r="J90" s="11" t="str">
        <x:v>相同不存在ID不会每次打DB</x:v>
      </x:c>
      <x:c r="K90" s="11" t="str">
        <x:v>接口异常/数据边界</x:v>
      </x:c>
      <x:c r="L90" s="11" t="str">
        <x:v>独立验收时使用L0/L1；AI只在验收后做复盘。</x:v>
      </x:c>
      <x:c r="M90" s="14" t="n">
        <x:v>1</x:v>
      </x:c>
      <x:c r="N90" s="16"/>
      <x:c r="O90" s="17" t="str">
        <x:v>未开始</x:v>
      </x:c>
      <x:c r="P90" s="17" t="str">
        <x:v>待验收</x:v>
      </x:c>
      <x:c r="Q90" s="17"/>
      <x:c r="R90" s="17"/>
      <x:c r="S90" s="11" t="str">
        <x:f>IF(AND(O90="已完成",P90="通过",LEN(Q90)&gt;0,LEN(R90)&gt;0),"可计入",IF(O90="已取消","已取消","待证据"))</x:f>
        <x:v>待证据</x:v>
      </x:c>
      <x:c r="T90" s="11"/>
      <x:c r="U90" s="11"/>
      <x:c r="V90" s="11"/>
      <x:c r="W90" s="11" t="str">
        <x:v>算法：滑动窗口</x:v>
      </x:c>
    </x:row>
    <x:row r="91" ht="45" customHeight="1">
      <x:c r="A91" s="11" t="n">
        <x:v>13</x:v>
      </x:c>
      <x:c r="B91" s="11" t="str">
        <x:v>2027-01-30</x:v>
      </x:c>
      <x:c r="C91" s="11" t="str">
        <x:v>六</x:v>
      </x:c>
      <x:c r="D91" s="11" t="str">
        <x:v>SC-1306</x:v>
      </x:c>
      <x:c r="E91" s="11" t="str">
        <x:v>Phase-13 Redis缓存</x:v>
      </x:c>
      <x:c r="F91" s="11" t="str">
        <x:v>Must</x:v>
      </x:c>
      <x:c r="G91" s="11" t="str">
        <x:v>开发/验证</x:v>
      </x:c>
      <x:c r="H91" s="11" t="str">
        <x:v>压测热点商品缓存命中前后延迟与DB连接使用</x:v>
      </x:c>
      <x:c r="I91" s="11" t="str">
        <x:v>bench/cache-baseline.md</x:v>
      </x:c>
      <x:c r="J91" s="11" t="str">
        <x:v>给出环境、样本数和p95数据不造数</x:v>
      </x:c>
      <x:c r="K91" s="11" t="str">
        <x:v>接口异常/数据边界</x:v>
      </x:c>
      <x:c r="L91" s="11" t="str">
        <x:v>核心路径先独立设计与实现；AI仅提示/审查，提交前能口述原理。</x:v>
      </x:c>
      <x:c r="M91" s="14" t="n">
        <x:v>2.5</x:v>
      </x:c>
      <x:c r="N91" s="16"/>
      <x:c r="O91" s="17" t="str">
        <x:v>未开始</x:v>
      </x:c>
      <x:c r="P91" s="17" t="str">
        <x:v>待验收</x:v>
      </x:c>
      <x:c r="Q91" s="17"/>
      <x:c r="R91" s="17"/>
      <x:c r="S91" s="11" t="str">
        <x:f>IF(AND(O91="已完成",P91="通过",LEN(Q91)&gt;0,LEN(R91)&gt;0),"可计入",IF(O91="已取消","已取消","待证据"))</x:f>
        <x:v>待证据</x:v>
      </x:c>
      <x:c r="T91" s="11"/>
      <x:c r="U91" s="11"/>
      <x:c r="V91" s="11"/>
      <x:c r="W91" s="11" t="str">
        <x:v>求职/返工缓冲或补测试</x:v>
      </x:c>
    </x:row>
    <x:row r="92" ht="45" customHeight="1">
      <x:c r="A92" s="11" t="n">
        <x:v>13</x:v>
      </x:c>
      <x:c r="B92" s="11" t="str">
        <x:v>2027-01-31</x:v>
      </x:c>
      <x:c r="C92" s="11" t="str">
        <x:v>日</x:v>
      </x:c>
      <x:c r="D92" s="11" t="str">
        <x:v>SC-1307</x:v>
      </x:c>
      <x:c r="E92" s="11" t="str">
        <x:v>Phase-13 Redis缓存</x:v>
      </x:c>
      <x:c r="F92" s="11" t="str">
        <x:v>Must</x:v>
      </x:c>
      <x:c r="G92" s="11" t="str">
        <x:v>缓冲/回归</x:v>
      </x:c>
      <x:c r="H92" s="11" t="str">
        <x:v>Redis断连和热点缓存失效演练，设置超时/降级并观察数据库压力</x:v>
      </x:c>
      <x:c r="I92" s="11" t="str">
        <x:v>docs/faults/redis-down.md</x:v>
      </x:c>
      <x:c r="J92" s="11" t="str">
        <x:v>非核心查询可降级，库存与订单正确性不受影响</x:v>
      </x:c>
      <x:c r="K92" s="11" t="str">
        <x:v>接口异常/数据边界</x:v>
      </x:c>
      <x:c r="L92" s="11" t="str">
        <x:v>观察p95和DB连接池变化</x:v>
      </x:c>
      <x:c r="M92" s="14" t="n">
        <x:v>0.5</x:v>
      </x:c>
      <x:c r="N92" s="16"/>
      <x:c r="O92" s="17" t="str">
        <x:v>未开始</x:v>
      </x:c>
      <x:c r="P92" s="17" t="str">
        <x:v>待验收</x:v>
      </x:c>
      <x:c r="Q92" s="17"/>
      <x:c r="R92" s="17"/>
      <x:c r="S92" s="11" t="str">
        <x:f>IF(AND(O92="已完成",P92="通过",LEN(Q92)&gt;0,LEN(R92)&gt;0),"可计入",IF(O92="已取消","已取消","待证据"))</x:f>
        <x:v>待证据</x:v>
      </x:c>
      <x:c r="T92" s="11"/>
      <x:c r="U92" s="11"/>
      <x:c r="V92" s="11"/>
      <x:c r="W92" s="11" t="str">
        <x:v>周复盘+证据归档</x:v>
      </x:c>
    </x:row>
    <x:row r="93" ht="45" customHeight="1">
      <x:c r="A93" s="11" t="n">
        <x:v>14</x:v>
      </x:c>
      <x:c r="B93" s="11" t="str">
        <x:v>2027-02-01</x:v>
      </x:c>
      <x:c r="C93" s="11" t="str">
        <x:v>一</x:v>
      </x:c>
      <x:c r="D93" s="11" t="str">
        <x:v>SC-1401</x:v>
      </x:c>
      <x:c r="E93" s="11" t="str">
        <x:v>Phase-14 MQ与Outbox</x:v>
      </x:c>
      <x:c r="F93" s="11" t="str">
        <x:v>Must</x:v>
      </x:c>
      <x:c r="G93" s="11" t="str">
        <x:v>设计/合同</x:v>
      </x:c>
      <x:c r="H93" s="11" t="str">
        <x:v>Outbox专题A：定义OrderPaid事件版本、稳定eventId、去重与至少一次投递边界</x:v>
      </x:c>
      <x:c r="I93" s="11" t="str">
        <x:v>docs/events/order-paid-v1.md</x:v>
      </x:c>
      <x:c r="J93" s="11" t="str">
        <x:v>事件含稳定ID、发生时间、版本，不泄露敏感信息</x:v>
      </x:c>
      <x:c r="K93" s="11" t="str">
        <x:v>消息可靠性</x:v>
      </x:c>
      <x:c r="L93" s="11" t="str">
        <x:v>事件是通知，不是订单事实唯一来源</x:v>
      </x:c>
      <x:c r="M93" s="14" t="n">
        <x:v>1.5</x:v>
      </x:c>
      <x:c r="N93" s="16"/>
      <x:c r="O93" s="17" t="str">
        <x:v>未开始</x:v>
      </x:c>
      <x:c r="P93" s="17" t="str">
        <x:v>待验收</x:v>
      </x:c>
      <x:c r="Q93" s="17"/>
      <x:c r="R93" s="17"/>
      <x:c r="S93" s="11" t="str">
        <x:f>IF(AND(O93="已完成",P93="通过",LEN(Q93)&gt;0,LEN(R93)&gt;0),"可计入",IF(O93="已取消","已取消","待证据"))</x:f>
        <x:v>待证据</x:v>
      </x:c>
      <x:c r="T93" s="11"/>
      <x:c r="U93" s="11"/>
      <x:c r="V93" s="11"/>
      <x:c r="W93" s="11" t="str">
        <x:v>算法：队列与BFS</x:v>
      </x:c>
    </x:row>
    <x:row r="94" ht="45" customHeight="1">
      <x:c r="A94" s="11" t="n">
        <x:v>14</x:v>
      </x:c>
      <x:c r="B94" s="11" t="str">
        <x:v>2027-02-02</x:v>
      </x:c>
      <x:c r="C94" s="11" t="str">
        <x:v>二</x:v>
      </x:c>
      <x:c r="D94" s="11" t="str">
        <x:v>SC-1402</x:v>
      </x:c>
      <x:c r="E94" s="11" t="str">
        <x:v>Phase-14 MQ与Outbox</x:v>
      </x:c>
      <x:c r="F94" s="11" t="str">
        <x:v>Must</x:v>
      </x:c>
      <x:c r="G94" s="11" t="str">
        <x:v>开发/验证</x:v>
      </x:c>
      <x:c r="H94" s="11" t="str">
        <x:v>Outbox专题B：搭建RabbitMQ、DLQ与Publisher Confirm演示，建立连接健康检查</x:v>
      </x:c>
      <x:c r="I94" s="11" t="str">
        <x:v>infra/compose.yaml + docs/mq/topology.md</x:v>
      </x:c>
      <x:c r="J94" s="11" t="str">
        <x:v>队列拓扑可重建，消息发布确认失败可被捕获</x:v>
      </x:c>
      <x:c r="K94" s="11" t="str">
        <x:v>消息可靠性</x:v>
      </x:c>
      <x:c r="L94" s="11" t="str">
        <x:v>不在交易事务内直接发MQ</x:v>
      </x:c>
      <x:c r="M94" s="14" t="n">
        <x:v>1.5</x:v>
      </x:c>
      <x:c r="N94" s="16"/>
      <x:c r="O94" s="17" t="str">
        <x:v>未开始</x:v>
      </x:c>
      <x:c r="P94" s="17" t="str">
        <x:v>待验收</x:v>
      </x:c>
      <x:c r="Q94" s="17"/>
      <x:c r="R94" s="17"/>
      <x:c r="S94" s="11" t="str">
        <x:f>IF(AND(O94="已完成",P94="通过",LEN(Q94)&gt;0,LEN(R94)&gt;0),"可计入",IF(O94="已取消","已取消","待证据"))</x:f>
        <x:v>待证据</x:v>
      </x:c>
      <x:c r="T94" s="11"/>
      <x:c r="U94" s="11"/>
      <x:c r="V94" s="11"/>
      <x:c r="W94" s="11" t="str">
        <x:v>基础：消息队列投递语义</x:v>
      </x:c>
    </x:row>
    <x:row r="95" ht="45" customHeight="1">
      <x:c r="A95" s="11" t="n">
        <x:v>14</x:v>
      </x:c>
      <x:c r="B95" s="11" t="str">
        <x:v>2027-02-03</x:v>
      </x:c>
      <x:c r="C95" s="11" t="str">
        <x:v>三</x:v>
      </x:c>
      <x:c r="D95" s="11" t="str">
        <x:v>SC-1403</x:v>
      </x:c>
      <x:c r="E95" s="11" t="str">
        <x:v>Phase-14 MQ与Outbox</x:v>
      </x:c>
      <x:c r="F95" s="11" t="str">
        <x:v>Must</x:v>
      </x:c>
      <x:c r="G95" s="11" t="str">
        <x:v>开发/验证</x:v>
      </x:c>
      <x:c r="H95" s="11" t="str">
        <x:v>Outbox专题C：事件与订单状态同事务入库，给可抢占任务增加pending/processing状态字段</x:v>
      </x:c>
      <x:c r="I95" s="11" t="str">
        <x:v>db/migration/V10__outbox.sql + OrderEventWriter</x:v>
      </x:c>
      <x:c r="J95" s="11" t="str">
        <x:v>订单状态回滚时事件也回滚</x:v>
      </x:c>
      <x:c r="K95" s="11" t="str">
        <x:v>消息可靠性</x:v>
      </x:c>
      <x:c r="L95" s="11" t="str">
        <x:v>防止服务重启丢未发事件</x:v>
      </x:c>
      <x:c r="M95" s="14" t="n">
        <x:v>1.5</x:v>
      </x:c>
      <x:c r="N95" s="16"/>
      <x:c r="O95" s="17" t="str">
        <x:v>未开始</x:v>
      </x:c>
      <x:c r="P95" s="17" t="str">
        <x:v>待验收</x:v>
      </x:c>
      <x:c r="Q95" s="17"/>
      <x:c r="R95" s="17"/>
      <x:c r="S95" s="11" t="str">
        <x:f>IF(AND(O95="已完成",P95="通过",LEN(Q95)&gt;0,LEN(R95)&gt;0),"可计入",IF(O95="已取消","已取消","待证据"))</x:f>
        <x:v>待证据</x:v>
      </x:c>
      <x:c r="T95" s="11"/>
      <x:c r="U95" s="11"/>
      <x:c r="V95" s="11"/>
      <x:c r="W95" s="11" t="str">
        <x:v>算法：队列与BFS</x:v>
      </x:c>
    </x:row>
    <x:row r="96" ht="45" customHeight="1">
      <x:c r="A96" s="11" t="n">
        <x:v>14</x:v>
      </x:c>
      <x:c r="B96" s="11" t="str">
        <x:v>2027-02-04</x:v>
      </x:c>
      <x:c r="C96" s="11" t="str">
        <x:v>四</x:v>
      </x:c>
      <x:c r="D96" s="11" t="str">
        <x:v>SC-1404</x:v>
      </x:c>
      <x:c r="E96" s="11" t="str">
        <x:v>Phase-14 MQ与Outbox</x:v>
      </x:c>
      <x:c r="F96" s="11" t="str">
        <x:v>Must</x:v>
      </x:c>
      <x:c r="G96" s="11" t="str">
        <x:v>开发/验证</x:v>
      </x:c>
      <x:c r="H96" s="11" t="str">
        <x:v>Outbox专题D：先实现单实例轮询、发布确认后标记完成，再实现超时重领与多实例安全领用方案</x:v>
      </x:c>
      <x:c r="I96" s="11" t="str">
        <x:v>OutboxDispatcher + docs/mq/claim-policy.md</x:v>
      </x:c>
      <x:c r="J96" s="11" t="str">
        <x:v>停机恢复后事件可继续投递，重复发允许但不丢事件</x:v>
      </x:c>
      <x:c r="K96" s="11" t="str">
        <x:v>消息可靠性</x:v>
      </x:c>
      <x:c r="L96" s="11" t="str">
        <x:v>用数据库租约/条件更新或SKIP LOCKED防双实例竞争；跨周可分步</x:v>
      </x:c>
      <x:c r="M96" s="14" t="n">
        <x:v>1.5</x:v>
      </x:c>
      <x:c r="N96" s="16"/>
      <x:c r="O96" s="17" t="str">
        <x:v>未开始</x:v>
      </x:c>
      <x:c r="P96" s="17" t="str">
        <x:v>待验收</x:v>
      </x:c>
      <x:c r="Q96" s="17"/>
      <x:c r="R96" s="17"/>
      <x:c r="S96" s="11" t="str">
        <x:f>IF(AND(O96="已完成",P96="通过",LEN(Q96)&gt;0,LEN(R96)&gt;0),"可计入",IF(O96="已取消","已取消","待证据"))</x:f>
        <x:v>待证据</x:v>
      </x:c>
      <x:c r="T96" s="11"/>
      <x:c r="U96" s="11"/>
      <x:c r="V96" s="11"/>
      <x:c r="W96" s="11" t="str">
        <x:v>基础：消息队列投递语义</x:v>
      </x:c>
    </x:row>
    <x:row r="97" ht="45" customHeight="1">
      <x:c r="A97" s="11" t="n">
        <x:v>14</x:v>
      </x:c>
      <x:c r="B97" s="11" t="str">
        <x:v>2027-02-05</x:v>
      </x:c>
      <x:c r="C97" s="11" t="str">
        <x:v>五</x:v>
      </x:c>
      <x:c r="D97" s="11" t="str">
        <x:v>SC-1405</x:v>
      </x:c>
      <x:c r="E97" s="11" t="str">
        <x:v>Phase-14 MQ与Outbox</x:v>
      </x:c>
      <x:c r="F97" s="11" t="str">
        <x:v>Must</x:v>
      </x:c>
      <x:c r="G97" s="11" t="str">
        <x:v>开发/验证</x:v>
      </x:c>
      <x:c r="H97" s="11" t="str">
        <x:v>Outbox专题E：消费者写站内通知，在同一数据库事务中校验processed_messages唯一性</x:v>
      </x:c>
      <x:c r="I97" s="11" t="str">
        <x:v>NotificationConsumer + NotificationIT</x:v>
      </x:c>
      <x:c r="J97" s="11" t="str">
        <x:v>相同eventId重复投递无重复副作用</x:v>
      </x:c>
      <x:c r="K97" s="11" t="str">
        <x:v>消息可靠性</x:v>
      </x:c>
      <x:c r="L97" s="11" t="str">
        <x:v>重复投递必须保留自动化测试</x:v>
      </x:c>
      <x:c r="M97" s="14" t="n">
        <x:v>1</x:v>
      </x:c>
      <x:c r="N97" s="16"/>
      <x:c r="O97" s="17" t="str">
        <x:v>未开始</x:v>
      </x:c>
      <x:c r="P97" s="17" t="str">
        <x:v>待验收</x:v>
      </x:c>
      <x:c r="Q97" s="17"/>
      <x:c r="R97" s="17"/>
      <x:c r="S97" s="11" t="str">
        <x:f>IF(AND(O97="已完成",P97="通过",LEN(Q97)&gt;0,LEN(R97)&gt;0),"可计入",IF(O97="已取消","已取消","待证据"))</x:f>
        <x:v>待证据</x:v>
      </x:c>
      <x:c r="T97" s="11"/>
      <x:c r="U97" s="11"/>
      <x:c r="V97" s="11"/>
      <x:c r="W97" s="11" t="str">
        <x:v>算法：队列与BFS</x:v>
      </x:c>
    </x:row>
    <x:row r="98" ht="45" customHeight="1">
      <x:c r="A98" s="11" t="n">
        <x:v>14</x:v>
      </x:c>
      <x:c r="B98" s="11" t="str">
        <x:v>2027-02-06</x:v>
      </x:c>
      <x:c r="C98" s="11" t="str">
        <x:v>六</x:v>
      </x:c>
      <x:c r="D98" s="11" t="str">
        <x:v>SC-1406</x:v>
      </x:c>
      <x:c r="E98" s="11" t="str">
        <x:v>Phase-14 MQ与Outbox</x:v>
      </x:c>
      <x:c r="F98" s="11" t="str">
        <x:v>Must</x:v>
      </x:c>
      <x:c r="G98" s="11" t="str">
        <x:v>开发/验证</x:v>
      </x:c>
      <x:c r="H98" s="11" t="str">
        <x:v>Outbox专题F：双Dispatcher+MQ短暂中断+进程崩溃演练，检查认领超时与重试</x:v>
      </x:c>
      <x:c r="I98" s="11" t="str">
        <x:v>OutboxMultiInstanceIT + docs/faults/outbox-retry.md</x:v>
      </x:c>
      <x:c r="J98" s="11" t="str">
        <x:v>所有pending事件最终可恢复尝试，无未处理的永久锁定</x:v>
      </x:c>
      <x:c r="K98" s="11" t="str">
        <x:v>消息可靠性</x:v>
      </x:c>
      <x:c r="L98" s="11" t="str">
        <x:v>必须记录重复发布次数，不承诺绝对exactly-once</x:v>
      </x:c>
      <x:c r="M98" s="14" t="n">
        <x:v>2.5</x:v>
      </x:c>
      <x:c r="N98" s="16"/>
      <x:c r="O98" s="17" t="str">
        <x:v>未开始</x:v>
      </x:c>
      <x:c r="P98" s="17" t="str">
        <x:v>待验收</x:v>
      </x:c>
      <x:c r="Q98" s="17"/>
      <x:c r="R98" s="17"/>
      <x:c r="S98" s="11" t="str">
        <x:f>IF(AND(O98="已完成",P98="通过",LEN(Q98)&gt;0,LEN(R98)&gt;0),"可计入",IF(O98="已取消","已取消","待证据"))</x:f>
        <x:v>待证据</x:v>
      </x:c>
      <x:c r="T98" s="11"/>
      <x:c r="U98" s="11"/>
      <x:c r="V98" s="11"/>
      <x:c r="W98" s="11" t="str">
        <x:v>求职/返工缓冲或补测试</x:v>
      </x:c>
    </x:row>
    <x:row r="99" ht="45" customHeight="1">
      <x:c r="A99" s="11" t="n">
        <x:v>14</x:v>
      </x:c>
      <x:c r="B99" s="11" t="str">
        <x:v>2027-02-07</x:v>
      </x:c>
      <x:c r="C99" s="11" t="str">
        <x:v>日</x:v>
      </x:c>
      <x:c r="D99" s="11" t="str">
        <x:v>SC-1407</x:v>
      </x:c>
      <x:c r="E99" s="11" t="str">
        <x:v>Phase-14 MQ与Outbox</x:v>
      </x:c>
      <x:c r="F99" s="11" t="str">
        <x:v>Must</x:v>
      </x:c>
      <x:c r="G99" s="11" t="str">
        <x:v>缓冲/回归</x:v>
      </x:c>
      <x:c r="H99" s="11" t="str">
        <x:v>缓冲和故障复盘：解释DB提交与MQ发布的非原子窗口、消费者幂等必要性</x:v>
      </x:c>
      <x:c r="I99" s="11" t="str">
        <x:v>docs/reviews/week14.md</x:v>
      </x:c>
      <x:c r="J99" s="11" t="str">
        <x:v>能手绘发送确认前后崩溃的两种结果</x:v>
      </x:c>
      <x:c r="K99" s="11" t="str">
        <x:v>消息可靠性</x:v>
      </x:c>
      <x:c r="L99" s="11" t="str">
        <x:v>测试没过则不继续堆功能</x:v>
      </x:c>
      <x:c r="M99" s="14" t="n">
        <x:v>0.5</x:v>
      </x:c>
      <x:c r="N99" s="16"/>
      <x:c r="O99" s="17" t="str">
        <x:v>未开始</x:v>
      </x:c>
      <x:c r="P99" s="17" t="str">
        <x:v>待验收</x:v>
      </x:c>
      <x:c r="Q99" s="17"/>
      <x:c r="R99" s="17"/>
      <x:c r="S99" s="11" t="str">
        <x:f>IF(AND(O99="已完成",P99="通过",LEN(Q99)&gt;0,LEN(R99)&gt;0),"可计入",IF(O99="已取消","已取消","待证据"))</x:f>
        <x:v>待证据</x:v>
      </x:c>
      <x:c r="T99" s="11"/>
      <x:c r="U99" s="11"/>
      <x:c r="V99" s="11"/>
      <x:c r="W99" s="11" t="str">
        <x:v>周复盘+证据归档</x:v>
      </x:c>
    </x:row>
    <x:row r="100" ht="45" customHeight="1">
      <x:c r="A100" s="11" t="n">
        <x:v>15</x:v>
      </x:c>
      <x:c r="B100" s="11" t="str">
        <x:v>2027-02-08</x:v>
      </x:c>
      <x:c r="C100" s="11" t="str">
        <x:v>一</x:v>
      </x:c>
      <x:c r="D100" s="11" t="str">
        <x:v>SC-1501</x:v>
      </x:c>
      <x:c r="E100" s="11" t="str">
        <x:v>Phase-15 消息幂等</x:v>
      </x:c>
      <x:c r="F100" s="11" t="str">
        <x:v>Must</x:v>
      </x:c>
      <x:c r="G100" s="11" t="str">
        <x:v>设计/合同</x:v>
      </x:c>
      <x:c r="H100" s="11" t="str">
        <x:v>写消费者失败矩阵：处理前挂、落库后未ACK、重复投递</x:v>
      </x:c>
      <x:c r="I100" s="11" t="str">
        <x:v>docs/testing/message-matrix.md</x:v>
      </x:c>
      <x:c r="J100" s="11" t="str">
        <x:v>每种失败有预期最终状态</x:v>
      </x:c>
      <x:c r="K100" s="11" t="str">
        <x:v>消息可靠性</x:v>
      </x:c>
      <x:c r="L100" s="11" t="str">
        <x:v>核心路径先独立设计与实现；AI仅提示/审查，提交前能口述原理。</x:v>
      </x:c>
      <x:c r="M100" s="14" t="n">
        <x:v>1.5</x:v>
      </x:c>
      <x:c r="N100" s="16"/>
      <x:c r="O100" s="17" t="str">
        <x:v>未开始</x:v>
      </x:c>
      <x:c r="P100" s="17" t="str">
        <x:v>待验收</x:v>
      </x:c>
      <x:c r="Q100" s="17"/>
      <x:c r="R100" s="17"/>
      <x:c r="S100" s="11" t="str">
        <x:f>IF(AND(O100="已完成",P100="通过",LEN(Q100)&gt;0,LEN(R100)&gt;0),"可计入",IF(O100="已取消","已取消","待证据"))</x:f>
        <x:v>待证据</x:v>
      </x:c>
      <x:c r="T100" s="11"/>
      <x:c r="U100" s="11"/>
      <x:c r="V100" s="11"/>
      <x:c r="W100" s="11" t="str">
        <x:v>算法：堆与优先队列</x:v>
      </x:c>
    </x:row>
    <x:row r="101" ht="45" customHeight="1">
      <x:c r="A101" s="11" t="n">
        <x:v>15</x:v>
      </x:c>
      <x:c r="B101" s="11" t="str">
        <x:v>2027-02-09</x:v>
      </x:c>
      <x:c r="C101" s="11" t="str">
        <x:v>二</x:v>
      </x:c>
      <x:c r="D101" s="11" t="str">
        <x:v>SC-1502</x:v>
      </x:c>
      <x:c r="E101" s="11" t="str">
        <x:v>Phase-15 消息幂等</x:v>
      </x:c>
      <x:c r="F101" s="11" t="str">
        <x:v>Must</x:v>
      </x:c>
      <x:c r="G101" s="11" t="str">
        <x:v>开发/验证</x:v>
      </x:c>
      <x:c r="H101" s="11" t="str">
        <x:v>新增processed_messages表，用唯一eventId防重复业务副作用</x:v>
      </x:c>
      <x:c r="I101" s="11" t="str">
        <x:v>V11__inbox.sql</x:v>
      </x:c>
      <x:c r="J101" s="11" t="str">
        <x:v>同一事件最多产生一次站内通知</x:v>
      </x:c>
      <x:c r="K101" s="11" t="str">
        <x:v>消息可靠性</x:v>
      </x:c>
      <x:c r="L101" s="11" t="str">
        <x:v>核心路径先独立设计与实现；AI仅提示/审查，提交前能口述原理。</x:v>
      </x:c>
      <x:c r="M101" s="14" t="n">
        <x:v>1.5</x:v>
      </x:c>
      <x:c r="N101" s="16"/>
      <x:c r="O101" s="17" t="str">
        <x:v>未开始</x:v>
      </x:c>
      <x:c r="P101" s="17" t="str">
        <x:v>待验收</x:v>
      </x:c>
      <x:c r="Q101" s="17"/>
      <x:c r="R101" s="17"/>
      <x:c r="S101" s="11" t="str">
        <x:f>IF(AND(O101="已完成",P101="通过",LEN(Q101)&gt;0,LEN(R101)&gt;0),"可计入",IF(O101="已取消","已取消","待证据"))</x:f>
        <x:v>待证据</x:v>
      </x:c>
      <x:c r="T101" s="11"/>
      <x:c r="U101" s="11"/>
      <x:c r="V101" s="11"/>
      <x:c r="W101" s="11" t="str">
        <x:v>基础：并发消息幂等/唯一索引</x:v>
      </x:c>
    </x:row>
    <x:row r="102" ht="45" customHeight="1">
      <x:c r="A102" s="11" t="n">
        <x:v>15</x:v>
      </x:c>
      <x:c r="B102" s="11" t="str">
        <x:v>2027-02-10</x:v>
      </x:c>
      <x:c r="C102" s="11" t="str">
        <x:v>三</x:v>
      </x:c>
      <x:c r="D102" s="11" t="str">
        <x:v>SC-1503</x:v>
      </x:c>
      <x:c r="E102" s="11" t="str">
        <x:v>Phase-15 消息幂等</x:v>
      </x:c>
      <x:c r="F102" s="11" t="str">
        <x:v>Must</x:v>
      </x:c>
      <x:c r="G102" s="11" t="str">
        <x:v>开发/验证</x:v>
      </x:c>
      <x:c r="H102" s="11" t="str">
        <x:v>消费者幂等专题：处理事件、写processed_messages和副作用同事务，故障时使用有界重试</x:v>
      </x:c>
      <x:c r="I102" s="11" t="str">
        <x:v>NotificationConsumerIT</x:v>
      </x:c>
      <x:c r="J102" s="11" t="str">
        <x:v>消费完成未ACK时重复投递仍然只有一次有效通知</x:v>
      </x:c>
      <x:c r="K102" s="11" t="str">
        <x:v>消息可靠性</x:v>
      </x:c>
      <x:c r="L102" s="11" t="str">
        <x:v>ACK应在业务事务提交后</x:v>
      </x:c>
      <x:c r="M102" s="14" t="n">
        <x:v>1.5</x:v>
      </x:c>
      <x:c r="N102" s="16"/>
      <x:c r="O102" s="17" t="str">
        <x:v>未开始</x:v>
      </x:c>
      <x:c r="P102" s="17" t="str">
        <x:v>待验收</x:v>
      </x:c>
      <x:c r="Q102" s="17"/>
      <x:c r="R102" s="17"/>
      <x:c r="S102" s="11" t="str">
        <x:f>IF(AND(O102="已完成",P102="通过",LEN(Q102)&gt;0,LEN(R102)&gt;0),"可计入",IF(O102="已取消","已取消","待证据"))</x:f>
        <x:v>待证据</x:v>
      </x:c>
      <x:c r="T102" s="11"/>
      <x:c r="U102" s="11"/>
      <x:c r="V102" s="11"/>
      <x:c r="W102" s="11" t="str">
        <x:v>算法：堆与优先队列</x:v>
      </x:c>
    </x:row>
    <x:row r="103" ht="45" customHeight="1">
      <x:c r="A103" s="11" t="n">
        <x:v>15</x:v>
      </x:c>
      <x:c r="B103" s="11" t="str">
        <x:v>2027-02-11</x:v>
      </x:c>
      <x:c r="C103" s="11" t="str">
        <x:v>四</x:v>
      </x:c>
      <x:c r="D103" s="11" t="str">
        <x:v>SC-1504</x:v>
      </x:c>
      <x:c r="E103" s="11" t="str">
        <x:v>Phase-15 消息幂等</x:v>
      </x:c>
      <x:c r="F103" s="11" t="str">
        <x:v>Must</x:v>
      </x:c>
      <x:c r="G103" s="11" t="str">
        <x:v>开发/验证</x:v>
      </x:c>
      <x:c r="H103" s="11" t="str">
        <x:v>按重试策略实现有界重试和死信队列，不做无穷循环</x:v>
      </x:c>
      <x:c r="I103" s="11" t="str">
        <x:v>RabbitMQ topology</x:v>
      </x:c>
      <x:c r="J103" s="11" t="str">
        <x:v>毒消息进入DLQ并有可见告警</x:v>
      </x:c>
      <x:c r="K103" s="11" t="str">
        <x:v>消息可靠性</x:v>
      </x:c>
      <x:c r="L103" s="11" t="str">
        <x:v>核心路径先独立设计与实现；AI仅提示/审查，提交前能口述原理。</x:v>
      </x:c>
      <x:c r="M103" s="14" t="n">
        <x:v>1.5</x:v>
      </x:c>
      <x:c r="N103" s="16"/>
      <x:c r="O103" s="17" t="str">
        <x:v>未开始</x:v>
      </x:c>
      <x:c r="P103" s="17" t="str">
        <x:v>待验收</x:v>
      </x:c>
      <x:c r="Q103" s="17"/>
      <x:c r="R103" s="17"/>
      <x:c r="S103" s="11" t="str">
        <x:f>IF(AND(O103="已完成",P103="通过",LEN(Q103)&gt;0,LEN(R103)&gt;0),"可计入",IF(O103="已取消","已取消","待证据"))</x:f>
        <x:v>待证据</x:v>
      </x:c>
      <x:c r="T103" s="11"/>
      <x:c r="U103" s="11"/>
      <x:c r="V103" s="11"/>
      <x:c r="W103" s="11" t="str">
        <x:v>基础：并发消息幂等/唯一索引</x:v>
      </x:c>
    </x:row>
    <x:row r="104" ht="45" customHeight="1">
      <x:c r="A104" s="11" t="n">
        <x:v>15</x:v>
      </x:c>
      <x:c r="B104" s="11" t="str">
        <x:v>2027-02-12</x:v>
      </x:c>
      <x:c r="C104" s="11" t="str">
        <x:v>五</x:v>
      </x:c>
      <x:c r="D104" s="11" t="str">
        <x:v>SC-1505</x:v>
      </x:c>
      <x:c r="E104" s="11" t="str">
        <x:v>Phase-15 消息幂等</x:v>
      </x:c>
      <x:c r="F104" s="11" t="str">
        <x:v>Must</x:v>
      </x:c>
      <x:c r="G104" s="11" t="str">
        <x:v>开发/验证</x:v>
      </x:c>
      <x:c r="H104" s="11" t="str">
        <x:v>实现管理接口或本地脚本查看DLQ并手工重放（仅管理员）</x:v>
      </x:c>
      <x:c r="I104" s="11" t="str">
        <x:v>scripts/replay-dlq.sh</x:v>
      </x:c>
      <x:c r="J104" s="11" t="str">
        <x:v>重放前审核，重复重放安全</x:v>
      </x:c>
      <x:c r="K104" s="11" t="str">
        <x:v>消息可靠性</x:v>
      </x:c>
      <x:c r="L104" s="11" t="str">
        <x:v>独立验收时使用L0/L1；AI只在验收后做复盘。</x:v>
      </x:c>
      <x:c r="M104" s="14" t="n">
        <x:v>1</x:v>
      </x:c>
      <x:c r="N104" s="16"/>
      <x:c r="O104" s="17" t="str">
        <x:v>未开始</x:v>
      </x:c>
      <x:c r="P104" s="17" t="str">
        <x:v>待验收</x:v>
      </x:c>
      <x:c r="Q104" s="17"/>
      <x:c r="R104" s="17"/>
      <x:c r="S104" s="11" t="str">
        <x:f>IF(AND(O104="已完成",P104="通过",LEN(Q104)&gt;0,LEN(R104)&gt;0),"可计入",IF(O104="已取消","已取消","待证据"))</x:f>
        <x:v>待证据</x:v>
      </x:c>
      <x:c r="T104" s="11"/>
      <x:c r="U104" s="11"/>
      <x:c r="V104" s="11"/>
      <x:c r="W104" s="11" t="str">
        <x:v>算法：堆与优先队列</x:v>
      </x:c>
    </x:row>
    <x:row r="105" ht="45" customHeight="1">
      <x:c r="A105" s="11" t="n">
        <x:v>15</x:v>
      </x:c>
      <x:c r="B105" s="11" t="str">
        <x:v>2027-02-13</x:v>
      </x:c>
      <x:c r="C105" s="11" t="str">
        <x:v>六</x:v>
      </x:c>
      <x:c r="D105" s="11" t="str">
        <x:v>SC-1506</x:v>
      </x:c>
      <x:c r="E105" s="11" t="str">
        <x:v>Phase-15 消息幂等</x:v>
      </x:c>
      <x:c r="F105" s="11" t="str">
        <x:v>Must</x:v>
      </x:c>
      <x:c r="G105" s="11" t="str">
        <x:v>开发/验证</x:v>
      </x:c>
      <x:c r="H105" s="11" t="str">
        <x:v>关闭消费者后重发消息，观察队列堆积和恢复</x:v>
      </x:c>
      <x:c r="I105" s="11" t="str">
        <x:v>docs/faults/consumer-down.md</x:v>
      </x:c>
      <x:c r="J105" s="11" t="str">
        <x:v>能够解释消息积压与恢复过程</x:v>
      </x:c>
      <x:c r="K105" s="11" t="str">
        <x:v>消息可靠性</x:v>
      </x:c>
      <x:c r="L105" s="11" t="str">
        <x:v>核心路径先独立设计与实现；AI仅提示/审查，提交前能口述原理。</x:v>
      </x:c>
      <x:c r="M105" s="14" t="n">
        <x:v>2.5</x:v>
      </x:c>
      <x:c r="N105" s="16"/>
      <x:c r="O105" s="17" t="str">
        <x:v>未开始</x:v>
      </x:c>
      <x:c r="P105" s="17" t="str">
        <x:v>待验收</x:v>
      </x:c>
      <x:c r="Q105" s="17"/>
      <x:c r="R105" s="17"/>
      <x:c r="S105" s="11" t="str">
        <x:f>IF(AND(O105="已完成",P105="通过",LEN(Q105)&gt;0,LEN(R105)&gt;0),"可计入",IF(O105="已取消","已取消","待证据"))</x:f>
        <x:v>待证据</x:v>
      </x:c>
      <x:c r="T105" s="11"/>
      <x:c r="U105" s="11"/>
      <x:c r="V105" s="11"/>
      <x:c r="W105" s="11" t="str">
        <x:v>求职/返工缓冲或补测试</x:v>
      </x:c>
    </x:row>
    <x:row r="106" ht="45" customHeight="1">
      <x:c r="A106" s="11" t="n">
        <x:v>15</x:v>
      </x:c>
      <x:c r="B106" s="11" t="str">
        <x:v>2027-02-14</x:v>
      </x:c>
      <x:c r="C106" s="11" t="str">
        <x:v>日</x:v>
      </x:c>
      <x:c r="D106" s="11" t="str">
        <x:v>SC-1507</x:v>
      </x:c>
      <x:c r="E106" s="11" t="str">
        <x:v>Phase-15 消息幂等</x:v>
      </x:c>
      <x:c r="F106" s="11" t="str">
        <x:v>Must</x:v>
      </x:c>
      <x:c r="G106" s="11" t="str">
        <x:v>缓冲/回归</x:v>
      </x:c>
      <x:c r="H106" s="11" t="str">
        <x:v>周缓冲：清理重复消费和DLQ问题，绘制事务/重试/幂等边界</x:v>
      </x:c>
      <x:c r="I106" s="11" t="str">
        <x:v>docs/architecture/event-flow.md</x:v>
      </x:c>
      <x:c r="J106" s="11" t="str">
        <x:v>可讲清最终一致性，避免承诺严格恰好一次</x:v>
      </x:c>
      <x:c r="K106" s="11" t="str">
        <x:v>消息可靠性</x:v>
      </x:c>
      <x:c r="L106" s="11" t="str">
        <x:v>核心路径先独立设计与实现；AI仅提示/审查，提交前能口述原理。</x:v>
      </x:c>
      <x:c r="M106" s="14" t="n">
        <x:v>0.5</x:v>
      </x:c>
      <x:c r="N106" s="16"/>
      <x:c r="O106" s="17" t="str">
        <x:v>未开始</x:v>
      </x:c>
      <x:c r="P106" s="17" t="str">
        <x:v>待验收</x:v>
      </x:c>
      <x:c r="Q106" s="17"/>
      <x:c r="R106" s="17"/>
      <x:c r="S106" s="11" t="str">
        <x:f>IF(AND(O106="已完成",P106="通过",LEN(Q106)&gt;0,LEN(R106)&gt;0),"可计入",IF(O106="已取消","已取消","待证据"))</x:f>
        <x:v>待证据</x:v>
      </x:c>
      <x:c r="T106" s="11"/>
      <x:c r="U106" s="11"/>
      <x:c r="V106" s="11"/>
      <x:c r="W106" s="11" t="str">
        <x:v>周复盘+证据归档</x:v>
      </x:c>
    </x:row>
    <x:row r="107" ht="45" customHeight="1">
      <x:c r="A107" s="11" t="n">
        <x:v>16</x:v>
      </x:c>
      <x:c r="B107" s="11" t="str">
        <x:v>2027-02-15</x:v>
      </x:c>
      <x:c r="C107" s="11" t="str">
        <x:v>一</x:v>
      </x:c>
      <x:c r="D107" s="11" t="str">
        <x:v>SC-1601</x:v>
      </x:c>
      <x:c r="E107" s="11" t="str">
        <x:v>Phase-16 首次发布</x:v>
      </x:c>
      <x:c r="F107" s="11" t="str">
        <x:v>Must</x:v>
      </x:c>
      <x:c r="G107" s="11" t="str">
        <x:v>设计/合同</x:v>
      </x:c>
      <x:c r="H107" s="11" t="str">
        <x:v>整理本地compose运行依赖与健康检查，加入启动顺序容错</x:v>
      </x:c>
      <x:c r="I107" s="11" t="str">
        <x:v>infra/compose.yaml</x:v>
      </x:c>
      <x:c r="J107" s="11" t="str">
        <x:v>服务未就绪时应用有明确报错与重试</x:v>
      </x:c>
      <x:c r="K107" s="11" t="str">
        <x:v>发布与故障恢复</x:v>
      </x:c>
      <x:c r="L107" s="11" t="str">
        <x:v>核心路径先独立设计与实现；AI仅提示/审查，提交前能口述原理。</x:v>
      </x:c>
      <x:c r="M107" s="14" t="n">
        <x:v>1.5</x:v>
      </x:c>
      <x:c r="N107" s="16"/>
      <x:c r="O107" s="17" t="str">
        <x:v>未开始</x:v>
      </x:c>
      <x:c r="P107" s="17" t="str">
        <x:v>待验收</x:v>
      </x:c>
      <x:c r="Q107" s="17"/>
      <x:c r="R107" s="17"/>
      <x:c r="S107" s="11" t="str">
        <x:f>IF(AND(O107="已完成",P107="通过",LEN(Q107)&gt;0,LEN(R107)&gt;0),"可计入",IF(O107="已取消","已取消","待证据"))</x:f>
        <x:v>待证据</x:v>
      </x:c>
      <x:c r="T107" s="11"/>
      <x:c r="U107" s="11"/>
      <x:c r="V107" s="11"/>
      <x:c r="W107" s="11" t="str">
        <x:v>算法：数组综合</x:v>
      </x:c>
    </x:row>
    <x:row r="108" ht="45" customHeight="1">
      <x:c r="A108" s="11" t="n">
        <x:v>16</x:v>
      </x:c>
      <x:c r="B108" s="11" t="str">
        <x:v>2027-02-16</x:v>
      </x:c>
      <x:c r="C108" s="11" t="str">
        <x:v>二</x:v>
      </x:c>
      <x:c r="D108" s="11" t="str">
        <x:v>SC-1602</x:v>
      </x:c>
      <x:c r="E108" s="11" t="str">
        <x:v>Phase-16 首次发布</x:v>
      </x:c>
      <x:c r="F108" s="11" t="str">
        <x:v>Must</x:v>
      </x:c>
      <x:c r="G108" s="11" t="str">
        <x:v>开发/验证</x:v>
      </x:c>
      <x:c r="H108" s="11" t="str">
        <x:v>完成多阶段Dockerfile、非root运行与环境变量配置</x:v>
      </x:c>
      <x:c r="I108" s="11" t="str">
        <x:v>Dockerfile</x:v>
      </x:c>
      <x:c r="J108" s="11" t="str">
        <x:v>镜像可构建且不包含密钥文件</x:v>
      </x:c>
      <x:c r="K108" s="11" t="str">
        <x:v>发布与故障恢复</x:v>
      </x:c>
      <x:c r="L108" s="11" t="str">
        <x:v>核心路径先独立设计与实现；AI仅提示/审查，提交前能口述原理。</x:v>
      </x:c>
      <x:c r="M108" s="14" t="n">
        <x:v>1.5</x:v>
      </x:c>
      <x:c r="N108" s="16"/>
      <x:c r="O108" s="17" t="str">
        <x:v>未开始</x:v>
      </x:c>
      <x:c r="P108" s="17" t="str">
        <x:v>待验收</x:v>
      </x:c>
      <x:c r="Q108" s="17"/>
      <x:c r="R108" s="17"/>
      <x:c r="S108" s="11" t="str">
        <x:f>IF(AND(O108="已完成",P108="通过",LEN(Q108)&gt;0,LEN(R108)&gt;0),"可计入",IF(O108="已取消","已取消","待证据"))</x:f>
        <x:v>待证据</x:v>
      </x:c>
      <x:c r="T108" s="11"/>
      <x:c r="U108" s="11"/>
      <x:c r="V108" s="11"/>
      <x:c r="W108" s="11" t="str">
        <x:v>基础：Docker/Linux/Git/日志</x:v>
      </x:c>
    </x:row>
    <x:row r="109" ht="45" customHeight="1">
      <x:c r="A109" s="11" t="n">
        <x:v>16</x:v>
      </x:c>
      <x:c r="B109" s="11" t="str">
        <x:v>2027-02-17</x:v>
      </x:c>
      <x:c r="C109" s="11" t="str">
        <x:v>三</x:v>
      </x:c>
      <x:c r="D109" s="11" t="str">
        <x:v>SC-1603</x:v>
      </x:c>
      <x:c r="E109" s="11" t="str">
        <x:v>Phase-16 首次发布</x:v>
      </x:c>
      <x:c r="F109" s="11" t="str">
        <x:v>Must</x:v>
      </x:c>
      <x:c r="G109" s="11" t="str">
        <x:v>开发/验证</x:v>
      </x:c>
      <x:c r="H109" s="11" t="str">
        <x:v>补自动化部署脚本、迁移检查和备份提示</x:v>
      </x:c>
      <x:c r="I109" s="11" t="str">
        <x:v>scripts/deploy-local.sh</x:v>
      </x:c>
      <x:c r="J109" s="11" t="str">
        <x:v>一条命令在干净环境启动服务</x:v>
      </x:c>
      <x:c r="K109" s="11" t="str">
        <x:v>发布与故障恢复</x:v>
      </x:c>
      <x:c r="L109" s="11" t="str">
        <x:v>核心路径先独立设计与实现；AI仅提示/审查，提交前能口述原理。</x:v>
      </x:c>
      <x:c r="M109" s="14" t="n">
        <x:v>1.5</x:v>
      </x:c>
      <x:c r="N109" s="16"/>
      <x:c r="O109" s="17" t="str">
        <x:v>未开始</x:v>
      </x:c>
      <x:c r="P109" s="17" t="str">
        <x:v>待验收</x:v>
      </x:c>
      <x:c r="Q109" s="17"/>
      <x:c r="R109" s="17"/>
      <x:c r="S109" s="11" t="str">
        <x:f>IF(AND(O109="已完成",P109="通过",LEN(Q109)&gt;0,LEN(R109)&gt;0),"可计入",IF(O109="已取消","已取消","待证据"))</x:f>
        <x:v>待证据</x:v>
      </x:c>
      <x:c r="T109" s="11"/>
      <x:c r="U109" s="11"/>
      <x:c r="V109" s="11"/>
      <x:c r="W109" s="11" t="str">
        <x:v>算法：数组综合</x:v>
      </x:c>
    </x:row>
    <x:row r="110" ht="45" customHeight="1">
      <x:c r="A110" s="11" t="n">
        <x:v>16</x:v>
      </x:c>
      <x:c r="B110" s="11" t="str">
        <x:v>2027-02-18</x:v>
      </x:c>
      <x:c r="C110" s="11" t="str">
        <x:v>四</x:v>
      </x:c>
      <x:c r="D110" s="11" t="str">
        <x:v>SC-1604</x:v>
      </x:c>
      <x:c r="E110" s="11" t="str">
        <x:v>Phase-16 首次发布</x:v>
      </x:c>
      <x:c r="F110" s="11" t="str">
        <x:v>Must</x:v>
      </x:c>
      <x:c r="G110" s="11" t="str">
        <x:v>开发/验证</x:v>
      </x:c>
      <x:c r="H110" s="11" t="str">
        <x:v>编写端到端冒烟脚本覆盖注册→商品→购物车→下单→支付→售后</x:v>
      </x:c>
      <x:c r="I110" s="11" t="str">
        <x:v>tests/e2e/smoke.sh</x:v>
      </x:c>
      <x:c r="J110" s="11" t="str">
        <x:v>脚本退出码准确反映失败</x:v>
      </x:c>
      <x:c r="K110" s="11" t="str">
        <x:v>发布与故障恢复</x:v>
      </x:c>
      <x:c r="L110" s="11" t="str">
        <x:v>核心路径先独立设计与实现；AI仅提示/审查，提交前能口述原理。</x:v>
      </x:c>
      <x:c r="M110" s="14" t="n">
        <x:v>1.5</x:v>
      </x:c>
      <x:c r="N110" s="16"/>
      <x:c r="O110" s="17" t="str">
        <x:v>未开始</x:v>
      </x:c>
      <x:c r="P110" s="17" t="str">
        <x:v>待验收</x:v>
      </x:c>
      <x:c r="Q110" s="17"/>
      <x:c r="R110" s="17"/>
      <x:c r="S110" s="11" t="str">
        <x:f>IF(AND(O110="已完成",P110="通过",LEN(Q110)&gt;0,LEN(R110)&gt;0),"可计入",IF(O110="已取消","已取消","待证据"))</x:f>
        <x:v>待证据</x:v>
      </x:c>
      <x:c r="T110" s="11"/>
      <x:c r="U110" s="11"/>
      <x:c r="V110" s="11"/>
      <x:c r="W110" s="11" t="str">
        <x:v>基础：Docker/Linux/Git/日志</x:v>
      </x:c>
    </x:row>
    <x:row r="111" ht="45" customHeight="1">
      <x:c r="A111" s="11" t="n">
        <x:v>16</x:v>
      </x:c>
      <x:c r="B111" s="11" t="str">
        <x:v>2027-02-19</x:v>
      </x:c>
      <x:c r="C111" s="11" t="str">
        <x:v>五</x:v>
      </x:c>
      <x:c r="D111" s="11" t="str">
        <x:v>SC-1605</x:v>
      </x:c>
      <x:c r="E111" s="11" t="str">
        <x:v>Phase-16 首次发布</x:v>
      </x:c>
      <x:c r="F111" s="11" t="str">
        <x:v>Must</x:v>
      </x:c>
      <x:c r="G111" s="11" t="str">
        <x:v>开发/验证</x:v>
      </x:c>
      <x:c r="H111" s="11" t="str">
        <x:v>从安全角度检查CORS、敏感日志、公开Actuator、依赖漏洞</x:v>
      </x:c>
      <x:c r="I111" s="11" t="str">
        <x:v>docs/security/mvp-check.md</x:v>
      </x:c>
      <x:c r="J111" s="11" t="str">
        <x:v>无公开管理端点和默认账号</x:v>
      </x:c>
      <x:c r="K111" s="11" t="str">
        <x:v>发布与故障恢复</x:v>
      </x:c>
      <x:c r="L111" s="11" t="str">
        <x:v>独立验收时使用L0/L1；AI只在验收后做复盘。</x:v>
      </x:c>
      <x:c r="M111" s="14" t="n">
        <x:v>1</x:v>
      </x:c>
      <x:c r="N111" s="16"/>
      <x:c r="O111" s="17" t="str">
        <x:v>未开始</x:v>
      </x:c>
      <x:c r="P111" s="17" t="str">
        <x:v>待验收</x:v>
      </x:c>
      <x:c r="Q111" s="17"/>
      <x:c r="R111" s="17"/>
      <x:c r="S111" s="11" t="str">
        <x:f>IF(AND(O111="已完成",P111="通过",LEN(Q111)&gt;0,LEN(R111)&gt;0),"可计入",IF(O111="已取消","已取消","待证据"))</x:f>
        <x:v>待证据</x:v>
      </x:c>
      <x:c r="T111" s="11"/>
      <x:c r="U111" s="11"/>
      <x:c r="V111" s="11"/>
      <x:c r="W111" s="11" t="str">
        <x:v>算法：数组综合</x:v>
      </x:c>
    </x:row>
    <x:row r="112" ht="45" customHeight="1">
      <x:c r="A112" s="11" t="n">
        <x:v>16</x:v>
      </x:c>
      <x:c r="B112" s="11" t="str">
        <x:v>2027-02-20</x:v>
      </x:c>
      <x:c r="C112" s="11" t="str">
        <x:v>六</x:v>
      </x:c>
      <x:c r="D112" s="11" t="str">
        <x:v>SC-1606</x:v>
      </x:c>
      <x:c r="E112" s="11" t="str">
        <x:v>Phase-16 首次发布</x:v>
      </x:c>
      <x:c r="F112" s="11" t="str">
        <x:v>Must</x:v>
      </x:c>
      <x:c r="G112" s="11" t="str">
        <x:v>开发/验证</x:v>
      </x:c>
      <x:c r="H112" s="11" t="str">
        <x:v>准备实习投递版简历：只写已通过测试的Java后端成果，量化数据需标注环境</x:v>
      </x:c>
      <x:c r="I112" s="11" t="str">
        <x:v>docs/career/resume-project-v0.md</x:v>
      </x:c>
      <x:c r="J112" s="11" t="str">
        <x:v>每条简历描述都有代码目录/测试证据可追溯</x:v>
      </x:c>
      <x:c r="K112" s="11" t="str">
        <x:v>发布与故障恢复</x:v>
      </x:c>
      <x:c r="L112" s="11" t="str">
        <x:v>不要虚构线上用户和产能</x:v>
      </x:c>
      <x:c r="M112" s="14" t="n">
        <x:v>2.5</x:v>
      </x:c>
      <x:c r="N112" s="16"/>
      <x:c r="O112" s="17" t="str">
        <x:v>未开始</x:v>
      </x:c>
      <x:c r="P112" s="17" t="str">
        <x:v>待验收</x:v>
      </x:c>
      <x:c r="Q112" s="17"/>
      <x:c r="R112" s="17"/>
      <x:c r="S112" s="11" t="str">
        <x:f>IF(AND(O112="已完成",P112="通过",LEN(Q112)&gt;0,LEN(R112)&gt;0),"可计入",IF(O112="已取消","已取消","待证据"))</x:f>
        <x:v>待证据</x:v>
      </x:c>
      <x:c r="T112" s="11"/>
      <x:c r="U112" s="11"/>
      <x:c r="V112" s="11"/>
      <x:c r="W112" s="11" t="str">
        <x:v>求职/返工缓冲或补测试</x:v>
      </x:c>
    </x:row>
    <x:row r="113" ht="45" customHeight="1">
      <x:c r="A113" s="11" t="n">
        <x:v>16</x:v>
      </x:c>
      <x:c r="B113" s="11" t="str">
        <x:v>2027-02-21</x:v>
      </x:c>
      <x:c r="C113" s="11" t="str">
        <x:v>日</x:v>
      </x:c>
      <x:c r="D113" s="11" t="str">
        <x:v>SC-1607</x:v>
      </x:c>
      <x:c r="E113" s="11" t="str">
        <x:v>Phase-16 首次发布</x:v>
      </x:c>
      <x:c r="F113" s="11" t="str">
        <x:v>Must</x:v>
      </x:c>
      <x:c r="G113" s="11" t="str">
        <x:v>缓冲/回归</x:v>
      </x:c>
      <x:c r="H113" s="11" t="str">
        <x:v>第1次正式发布+缓冲：生成可部署的v0.1.0版本，冻结P0未通过问题清单</x:v>
      </x:c>
      <x:c r="I113" s="11" t="str">
        <x:v>release/v0.1.0.md + docs/reviews/week16.md</x:v>
      </x:c>
      <x:c r="J113" s="11" t="str">
        <x:v>陌生开发机能部署、演示订单和消息链路；阻断性缺陷为0</x:v>
      </x:c>
      <x:c r="K113" s="11" t="str">
        <x:v>发布与故障恢复</x:v>
      </x:c>
      <x:c r="L113" s="11" t="str">
        <x:v>不是保证到日期必做完，失败则缩减范围并顺延</x:v>
      </x:c>
      <x:c r="M113" s="14" t="n">
        <x:v>0.5</x:v>
      </x:c>
      <x:c r="N113" s="16"/>
      <x:c r="O113" s="17" t="str">
        <x:v>未开始</x:v>
      </x:c>
      <x:c r="P113" s="17" t="str">
        <x:v>待验收</x:v>
      </x:c>
      <x:c r="Q113" s="17"/>
      <x:c r="R113" s="17"/>
      <x:c r="S113" s="11" t="str">
        <x:f>IF(AND(O113="已完成",P113="通过",LEN(Q113)&gt;0,LEN(R113)&gt;0),"可计入",IF(O113="已取消","已取消","待证据"))</x:f>
        <x:v>待证据</x:v>
      </x:c>
      <x:c r="T113" s="11"/>
      <x:c r="U113" s="11"/>
      <x:c r="V113" s="11"/>
      <x:c r="W113" s="11" t="str">
        <x:v>周复盘+证据归档</x:v>
      </x:c>
    </x:row>
    <x:row r="114" ht="45" customHeight="1">
      <x:c r="A114" s="11" t="n">
        <x:v>17</x:v>
      </x:c>
      <x:c r="B114" s="11" t="str">
        <x:v>2027-02-22</x:v>
      </x:c>
      <x:c r="C114" s="11" t="str">
        <x:v>一</x:v>
      </x:c>
      <x:c r="D114" s="11" t="str">
        <x:v>SC-1701</x:v>
      </x:c>
      <x:c r="E114" s="11" t="str">
        <x:v>Phase-17 实习启动</x:v>
      </x:c>
      <x:c r="F114" s="11" t="str">
        <x:v>Should</x:v>
      </x:c>
      <x:c r="G114" s="11" t="str">
        <x:v>设计/合同</x:v>
      </x:c>
      <x:c r="H114" s="11" t="str">
        <x:v>汇总真实2028届实习JD并提取硬门槛和加分项；没有正式公告时标记为待核实</x:v>
      </x:c>
      <x:c r="I114" s="11" t="str">
        <x:v>docs/career/jd-matrix.md</x:v>
      </x:c>
      <x:c r="J114" s="11" t="str">
        <x:v>每个岗位有官方链接、日期、硬要求与投递状态</x:v>
      </x:c>
      <x:c r="K114" s="11" t="str">
        <x:v>接口异常/数据边界</x:v>
      </x:c>
      <x:c r="L114" s="11" t="str">
        <x:v>不要把2027届公告误写成2028届</x:v>
      </x:c>
      <x:c r="M114" s="14" t="n">
        <x:v>1.5</x:v>
      </x:c>
      <x:c r="N114" s="16"/>
      <x:c r="O114" s="17" t="str">
        <x:v>未开始</x:v>
      </x:c>
      <x:c r="P114" s="17" t="str">
        <x:v>待验收</x:v>
      </x:c>
      <x:c r="Q114" s="17"/>
      <x:c r="R114" s="17"/>
      <x:c r="S114" s="11" t="str">
        <x:f>IF(AND(O114="已完成",P114="通过",LEN(Q114)&gt;0,LEN(R114)&gt;0),"可计入",IF(O114="已取消","已取消","待证据"))</x:f>
        <x:v>待证据</x:v>
      </x:c>
      <x:c r="T114" s="11"/>
      <x:c r="U114" s="11"/>
      <x:c r="V114" s="11"/>
      <x:c r="W114" s="11" t="str">
        <x:v>算法：链表/二叉树</x:v>
      </x:c>
    </x:row>
    <x:row r="115" ht="45" customHeight="1">
      <x:c r="A115" s="11" t="n">
        <x:v>17</x:v>
      </x:c>
      <x:c r="B115" s="11" t="str">
        <x:v>2027-02-23</x:v>
      </x:c>
      <x:c r="C115" s="11" t="str">
        <x:v>二</x:v>
      </x:c>
      <x:c r="D115" s="11" t="str">
        <x:v>SC-1702</x:v>
      </x:c>
      <x:c r="E115" s="11" t="str">
        <x:v>Phase-17 实习启动</x:v>
      </x:c>
      <x:c r="F115" s="11" t="str">
        <x:v>Should</x:v>
      </x:c>
      <x:c r="G115" s="11" t="str">
        <x:v>开发/验证</x:v>
      </x:c>
      <x:c r="H115" s="11" t="str">
        <x:v>优化一页简历，以业务结果描述项目不夸大QPS</x:v>
      </x:c>
      <x:c r="I115" s="11" t="str">
        <x:v>docs/career/resume-v2.md</x:v>
      </x:c>
      <x:c r="J115" s="11" t="str">
        <x:v>每条项目描述可提供证据</x:v>
      </x:c>
      <x:c r="K115" s="11" t="str">
        <x:v>接口异常/数据边界</x:v>
      </x:c>
      <x:c r="L115" s="11" t="str">
        <x:v>核心路径先独立设计与实现；AI仅提示/审查，提交前能口述原理。</x:v>
      </x:c>
      <x:c r="M115" s="14" t="n">
        <x:v>1.5</x:v>
      </x:c>
      <x:c r="N115" s="16"/>
      <x:c r="O115" s="17" t="str">
        <x:v>未开始</x:v>
      </x:c>
      <x:c r="P115" s="17" t="str">
        <x:v>待验收</x:v>
      </x:c>
      <x:c r="Q115" s="17"/>
      <x:c r="R115" s="17"/>
      <x:c r="S115" s="11" t="str">
        <x:f>IF(AND(O115="已完成",P115="通过",LEN(Q115)&gt;0,LEN(R115)&gt;0),"可计入",IF(O115="已取消","已取消","待证据"))</x:f>
        <x:v>待证据</x:v>
      </x:c>
      <x:c r="T115" s="11"/>
      <x:c r="U115" s="11"/>
      <x:c r="V115" s="11"/>
      <x:c r="W115" s="11" t="str">
        <x:v>基础：Java集合、线程池、数据库事务面试</x:v>
      </x:c>
    </x:row>
    <x:row r="116" ht="45" customHeight="1">
      <x:c r="A116" s="11" t="n">
        <x:v>17</x:v>
      </x:c>
      <x:c r="B116" s="11" t="str">
        <x:v>2027-02-24</x:v>
      </x:c>
      <x:c r="C116" s="11" t="str">
        <x:v>三</x:v>
      </x:c>
      <x:c r="D116" s="11" t="str">
        <x:v>SC-1703</x:v>
      </x:c>
      <x:c r="E116" s="11" t="str">
        <x:v>Phase-17 实习启动</x:v>
      </x:c>
      <x:c r="F116" s="11" t="str">
        <x:v>Should</x:v>
      </x:c>
      <x:c r="G116" s="11" t="str">
        <x:v>开发/验证</x:v>
      </x:c>
      <x:c r="H116" s="11" t="str">
        <x:v>独立手写一道哈希表、一题双指针并记录时间</x:v>
      </x:c>
      <x:c r="I116" s="11" t="str">
        <x:v>docs/interview/algorithm-log.md</x:v>
      </x:c>
      <x:c r="J116" s="11" t="str">
        <x:v>能说清时间空间复杂度</x:v>
      </x:c>
      <x:c r="K116" s="11" t="str">
        <x:v>接口异常/数据边界</x:v>
      </x:c>
      <x:c r="L116" s="11" t="str">
        <x:v>核心路径先独立设计与实现；AI仅提示/审查，提交前能口述原理。</x:v>
      </x:c>
      <x:c r="M116" s="14" t="n">
        <x:v>1.5</x:v>
      </x:c>
      <x:c r="N116" s="16"/>
      <x:c r="O116" s="17" t="str">
        <x:v>未开始</x:v>
      </x:c>
      <x:c r="P116" s="17" t="str">
        <x:v>待验收</x:v>
      </x:c>
      <x:c r="Q116" s="17"/>
      <x:c r="R116" s="17"/>
      <x:c r="S116" s="11" t="str">
        <x:f>IF(AND(O116="已完成",P116="通过",LEN(Q116)&gt;0,LEN(R116)&gt;0),"可计入",IF(O116="已取消","已取消","待证据"))</x:f>
        <x:v>待证据</x:v>
      </x:c>
      <x:c r="T116" s="11"/>
      <x:c r="U116" s="11"/>
      <x:c r="V116" s="11"/>
      <x:c r="W116" s="11" t="str">
        <x:v>算法：链表/二叉树</x:v>
      </x:c>
    </x:row>
    <x:row r="117" ht="45" customHeight="1">
      <x:c r="A117" s="11" t="n">
        <x:v>17</x:v>
      </x:c>
      <x:c r="B117" s="11" t="str">
        <x:v>2027-02-25</x:v>
      </x:c>
      <x:c r="C117" s="11" t="str">
        <x:v>四</x:v>
      </x:c>
      <x:c r="D117" s="11" t="str">
        <x:v>SC-1704</x:v>
      </x:c>
      <x:c r="E117" s="11" t="str">
        <x:v>Phase-17 实习启动</x:v>
      </x:c>
      <x:c r="F117" s="11" t="str">
        <x:v>Should</x:v>
      </x:c>
      <x:c r="G117" s="11" t="str">
        <x:v>开发/验证</x:v>
      </x:c>
      <x:c r="H117" s="11" t="str">
        <x:v>模拟Java集合、并发、事务、缓存、MQ项目追问</x:v>
      </x:c>
      <x:c r="I117" s="11" t="str">
        <x:v>docs/interview/qna-v1.md</x:v>
      </x:c>
      <x:c r="J117" s="11" t="str">
        <x:v>至少答出10题并标缺口</x:v>
      </x:c>
      <x:c r="K117" s="11" t="str">
        <x:v>接口异常/数据边界</x:v>
      </x:c>
      <x:c r="L117" s="11" t="str">
        <x:v>核心路径先独立设计与实现；AI仅提示/审查，提交前能口述原理。</x:v>
      </x:c>
      <x:c r="M117" s="14" t="n">
        <x:v>1.5</x:v>
      </x:c>
      <x:c r="N117" s="16"/>
      <x:c r="O117" s="17" t="str">
        <x:v>未开始</x:v>
      </x:c>
      <x:c r="P117" s="17" t="str">
        <x:v>待验收</x:v>
      </x:c>
      <x:c r="Q117" s="17"/>
      <x:c r="R117" s="17"/>
      <x:c r="S117" s="11" t="str">
        <x:f>IF(AND(O117="已完成",P117="通过",LEN(Q117)&gt;0,LEN(R117)&gt;0),"可计入",IF(O117="已取消","已取消","待证据"))</x:f>
        <x:v>待证据</x:v>
      </x:c>
      <x:c r="T117" s="11"/>
      <x:c r="U117" s="11"/>
      <x:c r="V117" s="11"/>
      <x:c r="W117" s="11" t="str">
        <x:v>基础：Java集合、线程池、数据库事务面试</x:v>
      </x:c>
    </x:row>
    <x:row r="118" ht="45" customHeight="1">
      <x:c r="A118" s="11" t="n">
        <x:v>17</x:v>
      </x:c>
      <x:c r="B118" s="11" t="str">
        <x:v>2027-02-26</x:v>
      </x:c>
      <x:c r="C118" s="11" t="str">
        <x:v>五</x:v>
      </x:c>
      <x:c r="D118" s="11" t="str">
        <x:v>SC-1705</x:v>
      </x:c>
      <x:c r="E118" s="11" t="str">
        <x:v>Phase-17 实习启动</x:v>
      </x:c>
      <x:c r="F118" s="11" t="str">
        <x:v>Should</x:v>
      </x:c>
      <x:c r="G118" s="11" t="str">
        <x:v>开发/验证</x:v>
      </x:c>
      <x:c r="H118" s="11" t="str">
        <x:v>从2027年2月开始准备投递，公告开放后投递第一批匹配的2028届实习岗位</x:v>
      </x:c>
      <x:c r="I118" s="11" t="str">
        <x:v>docs/career/application-log.md</x:v>
      </x:c>
      <x:c r="J118" s="11" t="str">
        <x:v>记录岗位、来源、申请时间、笔试面试反馈；没开放则跟踪</x:v>
      </x:c>
      <x:c r="K118" s="11" t="str">
        <x:v>接口异常/数据边界</x:v>
      </x:c>
      <x:c r="L118" s="11" t="str">
        <x:v>求职时间优先于P2新功能</x:v>
      </x:c>
      <x:c r="M118" s="14" t="n">
        <x:v>1</x:v>
      </x:c>
      <x:c r="N118" s="16"/>
      <x:c r="O118" s="17" t="str">
        <x:v>未开始</x:v>
      </x:c>
      <x:c r="P118" s="17" t="str">
        <x:v>待验收</x:v>
      </x:c>
      <x:c r="Q118" s="17"/>
      <x:c r="R118" s="17"/>
      <x:c r="S118" s="11" t="str">
        <x:f>IF(AND(O118="已完成",P118="通过",LEN(Q118)&gt;0,LEN(R118)&gt;0),"可计入",IF(O118="已取消","已取消","待证据"))</x:f>
        <x:v>待证据</x:v>
      </x:c>
      <x:c r="T118" s="11"/>
      <x:c r="U118" s="11"/>
      <x:c r="V118" s="11"/>
      <x:c r="W118" s="11" t="str">
        <x:v>算法：链表/二叉树</x:v>
      </x:c>
    </x:row>
    <x:row r="119" ht="45" customHeight="1">
      <x:c r="A119" s="11" t="n">
        <x:v>17</x:v>
      </x:c>
      <x:c r="B119" s="11" t="str">
        <x:v>2027-02-27</x:v>
      </x:c>
      <x:c r="C119" s="11" t="str">
        <x:v>六</x:v>
      </x:c>
      <x:c r="D119" s="11" t="str">
        <x:v>SC-1706</x:v>
      </x:c>
      <x:c r="E119" s="11" t="str">
        <x:v>Phase-17 实习启动</x:v>
      </x:c>
      <x:c r="F119" s="11" t="str">
        <x:v>Should</x:v>
      </x:c>
      <x:c r="G119" s="11" t="str">
        <x:v>缓冲/回归</x:v>
      </x:c>
      <x:c r="H119" s="11" t="str">
        <x:v>本周故障缓冲：从真实Issue或面试反馈修复最高优先级缺陷并增补回归测试</x:v>
      </x:c>
      <x:c r="I119" s="11" t="str">
        <x:v>fix/* + docs/reviews/week17.md</x:v>
      </x:c>
      <x:c r="J119" s="11" t="str">
        <x:v>复现→修复→自动化回归的链条完整</x:v>
      </x:c>
      <x:c r="K119" s="11" t="str">
        <x:v>接口异常/数据边界</x:v>
      </x:c>
      <x:c r="L119" s="11" t="str">
        <x:v>不因赶工扩充技术栈</x:v>
      </x:c>
      <x:c r="M119" s="14" t="n">
        <x:v>2.5</x:v>
      </x:c>
      <x:c r="N119" s="16"/>
      <x:c r="O119" s="17" t="str">
        <x:v>未开始</x:v>
      </x:c>
      <x:c r="P119" s="17" t="str">
        <x:v>待验收</x:v>
      </x:c>
      <x:c r="Q119" s="17"/>
      <x:c r="R119" s="17"/>
      <x:c r="S119" s="11" t="str">
        <x:f>IF(AND(O119="已完成",P119="通过",LEN(Q119)&gt;0,LEN(R119)&gt;0),"可计入",IF(O119="已取消","已取消","待证据"))</x:f>
        <x:v>待证据</x:v>
      </x:c>
      <x:c r="T119" s="11"/>
      <x:c r="U119" s="11"/>
      <x:c r="V119" s="11"/>
      <x:c r="W119" s="11" t="str">
        <x:v>求职/返工缓冲或补测试</x:v>
      </x:c>
    </x:row>
    <x:row r="120" ht="45" customHeight="1">
      <x:c r="A120" s="11" t="n">
        <x:v>17</x:v>
      </x:c>
      <x:c r="B120" s="11" t="str">
        <x:v>2027-02-28</x:v>
      </x:c>
      <x:c r="C120" s="11" t="str">
        <x:v>日</x:v>
      </x:c>
      <x:c r="D120" s="11" t="str">
        <x:v>SC-1707</x:v>
      </x:c>
      <x:c r="E120" s="11" t="str">
        <x:v>Phase-17 实习启动</x:v>
      </x:c>
      <x:c r="F120" s="11" t="str">
        <x:v>Should</x:v>
      </x:c>
      <x:c r="G120" s="11" t="str">
        <x:v>缓冲/回归</x:v>
      </x:c>
      <x:c r="H120" s="11" t="str">
        <x:v>复盘投递和面试准备结果，调整下一周投入</x:v>
      </x:c>
      <x:c r="I120" s="11" t="str">
        <x:v>docs/reviews/week17.md</x:v>
      </x:c>
      <x:c r="J120" s="11" t="str">
        <x:v>至少确定3项可行动改进</x:v>
      </x:c>
      <x:c r="K120" s="11" t="str">
        <x:v>接口异常/数据边界</x:v>
      </x:c>
      <x:c r="L120" s="11" t="str">
        <x:v>核心路径先独立设计与实现；AI仅提示/审查，提交前能口述原理。</x:v>
      </x:c>
      <x:c r="M120" s="14" t="n">
        <x:v>0.5</x:v>
      </x:c>
      <x:c r="N120" s="16"/>
      <x:c r="O120" s="17" t="str">
        <x:v>未开始</x:v>
      </x:c>
      <x:c r="P120" s="17" t="str">
        <x:v>待验收</x:v>
      </x:c>
      <x:c r="Q120" s="17"/>
      <x:c r="R120" s="17"/>
      <x:c r="S120" s="11" t="str">
        <x:f>IF(AND(O120="已完成",P120="通过",LEN(Q120)&gt;0,LEN(R120)&gt;0),"可计入",IF(O120="已取消","已取消","待证据"))</x:f>
        <x:v>待证据</x:v>
      </x:c>
      <x:c r="T120" s="11"/>
      <x:c r="U120" s="11"/>
      <x:c r="V120" s="11"/>
      <x:c r="W120" s="11" t="str">
        <x:v>周复盘+证据归档</x:v>
      </x:c>
    </x:row>
    <x:row r="121" ht="45" customHeight="1">
      <x:c r="A121" s="11" t="n">
        <x:v>18</x:v>
      </x:c>
      <x:c r="B121" s="11" t="str">
        <x:v>2027-03-01</x:v>
      </x:c>
      <x:c r="C121" s="11" t="str">
        <x:v>一</x:v>
      </x:c>
      <x:c r="D121" s="11" t="str">
        <x:v>SC-1801</x:v>
      </x:c>
      <x:c r="E121" s="11" t="str">
        <x:v>Phase-18 可观测性</x:v>
      </x:c>
      <x:c r="F121" s="11" t="str">
        <x:v>Should</x:v>
      </x:c>
      <x:c r="G121" s="11" t="str">
        <x:v>设计/合同</x:v>
      </x:c>
      <x:c r="H121" s="11" t="str">
        <x:v>定义基础SLO草案：可用率、错误率、延迟、订单一致性</x:v>
      </x:c>
      <x:c r="I121" s="11" t="str">
        <x:v>docs/ops/slo.md</x:v>
      </x:c>
      <x:c r="J121" s="11" t="str">
        <x:v>指标含采集方式与业务意义，非空喊目标</x:v>
      </x:c>
      <x:c r="K121" s="11" t="str">
        <x:v>接口异常/数据边界</x:v>
      </x:c>
      <x:c r="L121" s="11" t="str">
        <x:v>核心路径先独立设计与实现；AI仅提示/审查，提交前能口述原理。</x:v>
      </x:c>
      <x:c r="M121" s="14" t="n">
        <x:v>1.5</x:v>
      </x:c>
      <x:c r="N121" s="16"/>
      <x:c r="O121" s="17" t="str">
        <x:v>未开始</x:v>
      </x:c>
      <x:c r="P121" s="17" t="str">
        <x:v>待验收</x:v>
      </x:c>
      <x:c r="Q121" s="17"/>
      <x:c r="R121" s="17"/>
      <x:c r="S121" s="11" t="str">
        <x:f>IF(AND(O121="已完成",P121="通过",LEN(Q121)&gt;0,LEN(R121)&gt;0),"可计入",IF(O121="已取消","已取消","待证据"))</x:f>
        <x:v>待证据</x:v>
      </x:c>
      <x:c r="T121" s="11"/>
      <x:c r="U121" s="11"/>
      <x:c r="V121" s="11"/>
      <x:c r="W121" s="11" t="str">
        <x:v>算法：二叉树DFS</x:v>
      </x:c>
    </x:row>
    <x:row r="122" ht="45" customHeight="1">
      <x:c r="A122" s="11" t="n">
        <x:v>18</x:v>
      </x:c>
      <x:c r="B122" s="11" t="str">
        <x:v>2027-03-02</x:v>
      </x:c>
      <x:c r="C122" s="11" t="str">
        <x:v>二</x:v>
      </x:c>
      <x:c r="D122" s="11" t="str">
        <x:v>SC-1802</x:v>
      </x:c>
      <x:c r="E122" s="11" t="str">
        <x:v>Phase-18 可观测性</x:v>
      </x:c>
      <x:c r="F122" s="11" t="str">
        <x:v>Should</x:v>
      </x:c>
      <x:c r="G122" s="11" t="str">
        <x:v>开发/验证</x:v>
      </x:c>
      <x:c r="H122" s="11" t="str">
        <x:v>统一结构化日志字段requestId、orderId（脱敏）、duration</x:v>
      </x:c>
      <x:c r="I122" s="11" t="str">
        <x:v>LoggingConfig</x:v>
      </x:c>
      <x:c r="J122" s="11" t="str">
        <x:v>单次请求可串联多层日志</x:v>
      </x:c>
      <x:c r="K122" s="11" t="str">
        <x:v>接口异常/数据边界</x:v>
      </x:c>
      <x:c r="L122" s="11" t="str">
        <x:v>核心路径先独立设计与实现；AI仅提示/审查，提交前能口述原理。</x:v>
      </x:c>
      <x:c r="M122" s="14" t="n">
        <x:v>1.5</x:v>
      </x:c>
      <x:c r="N122" s="16"/>
      <x:c r="O122" s="17" t="str">
        <x:v>未开始</x:v>
      </x:c>
      <x:c r="P122" s="17" t="str">
        <x:v>待验收</x:v>
      </x:c>
      <x:c r="Q122" s="17"/>
      <x:c r="R122" s="17"/>
      <x:c r="S122" s="11" t="str">
        <x:f>IF(AND(O122="已完成",P122="通过",LEN(Q122)&gt;0,LEN(R122)&gt;0),"可计入",IF(O122="已取消","已取消","待证据"))</x:f>
        <x:v>待证据</x:v>
      </x:c>
      <x:c r="T122" s="11"/>
      <x:c r="U122" s="11"/>
      <x:c r="V122" s="11"/>
      <x:c r="W122" s="11" t="str">
        <x:v>基础：TCP连接、超时、连接池与可观测性</x:v>
      </x:c>
    </x:row>
    <x:row r="123" ht="45" customHeight="1">
      <x:c r="A123" s="11" t="n">
        <x:v>18</x:v>
      </x:c>
      <x:c r="B123" s="11" t="str">
        <x:v>2027-03-03</x:v>
      </x:c>
      <x:c r="C123" s="11" t="str">
        <x:v>三</x:v>
      </x:c>
      <x:c r="D123" s="11" t="str">
        <x:v>SC-1803</x:v>
      </x:c>
      <x:c r="E123" s="11" t="str">
        <x:v>Phase-18 可观测性</x:v>
      </x:c>
      <x:c r="F123" s="11" t="str">
        <x:v>Should</x:v>
      </x:c>
      <x:c r="G123" s="11" t="str">
        <x:v>开发/验证</x:v>
      </x:c>
      <x:c r="H123" s="11" t="str">
        <x:v>接入Micrometer指标与Actuator受控访问</x:v>
      </x:c>
      <x:c r="I123" s="11" t="str">
        <x:v>MetricsConfig</x:v>
      </x:c>
      <x:c r="J123" s="11" t="str">
        <x:v>可查看HTTP状态/响应耗时但敏感端点不公开</x:v>
      </x:c>
      <x:c r="K123" s="11" t="str">
        <x:v>接口异常/数据边界</x:v>
      </x:c>
      <x:c r="L123" s="11" t="str">
        <x:v>核心路径先独立设计与实现；AI仅提示/审查，提交前能口述原理。</x:v>
      </x:c>
      <x:c r="M123" s="14" t="n">
        <x:v>1.5</x:v>
      </x:c>
      <x:c r="N123" s="16"/>
      <x:c r="O123" s="17" t="str">
        <x:v>未开始</x:v>
      </x:c>
      <x:c r="P123" s="17" t="str">
        <x:v>待验收</x:v>
      </x:c>
      <x:c r="Q123" s="17"/>
      <x:c r="R123" s="17"/>
      <x:c r="S123" s="11" t="str">
        <x:f>IF(AND(O123="已完成",P123="通过",LEN(Q123)&gt;0,LEN(R123)&gt;0),"可计入",IF(O123="已取消","已取消","待证据"))</x:f>
        <x:v>待证据</x:v>
      </x:c>
      <x:c r="T123" s="11"/>
      <x:c r="U123" s="11"/>
      <x:c r="V123" s="11"/>
      <x:c r="W123" s="11" t="str">
        <x:v>算法：二叉树DFS</x:v>
      </x:c>
    </x:row>
    <x:row r="124" ht="45" customHeight="1">
      <x:c r="A124" s="11" t="n">
        <x:v>18</x:v>
      </x:c>
      <x:c r="B124" s="11" t="str">
        <x:v>2027-03-04</x:v>
      </x:c>
      <x:c r="C124" s="11" t="str">
        <x:v>四</x:v>
      </x:c>
      <x:c r="D124" s="11" t="str">
        <x:v>SC-1804</x:v>
      </x:c>
      <x:c r="E124" s="11" t="str">
        <x:v>Phase-18 可观测性</x:v>
      </x:c>
      <x:c r="F124" s="11" t="str">
        <x:v>Should</x:v>
      </x:c>
      <x:c r="G124" s="11" t="str">
        <x:v>开发/验证</x:v>
      </x:c>
      <x:c r="H124" s="11" t="str">
        <x:v>按当前兼容版本选择OTel Agent或Starter，采集一次下单链路</x:v>
      </x:c>
      <x:c r="I124" s="11" t="str">
        <x:v>infra/otel/ + 截图</x:v>
      </x:c>
      <x:c r="J124" s="11" t="str">
        <x:v>可找到HTTP→SQL关键span</x:v>
      </x:c>
      <x:c r="K124" s="11" t="str">
        <x:v>接口异常/数据边界</x:v>
      </x:c>
      <x:c r="L124" s="11" t="str">
        <x:v>核心路径先独立设计与实现；AI仅提示/审查，提交前能口述原理。</x:v>
      </x:c>
      <x:c r="M124" s="14" t="n">
        <x:v>1.5</x:v>
      </x:c>
      <x:c r="N124" s="16"/>
      <x:c r="O124" s="17" t="str">
        <x:v>未开始</x:v>
      </x:c>
      <x:c r="P124" s="17" t="str">
        <x:v>待验收</x:v>
      </x:c>
      <x:c r="Q124" s="17"/>
      <x:c r="R124" s="17"/>
      <x:c r="S124" s="11" t="str">
        <x:f>IF(AND(O124="已完成",P124="通过",LEN(Q124)&gt;0,LEN(R124)&gt;0),"可计入",IF(O124="已取消","已取消","待证据"))</x:f>
        <x:v>待证据</x:v>
      </x:c>
      <x:c r="T124" s="11"/>
      <x:c r="U124" s="11"/>
      <x:c r="V124" s="11"/>
      <x:c r="W124" s="11" t="str">
        <x:v>基础：TCP连接、超时、连接池与可观测性</x:v>
      </x:c>
    </x:row>
    <x:row r="125" ht="45" customHeight="1">
      <x:c r="A125" s="11" t="n">
        <x:v>18</x:v>
      </x:c>
      <x:c r="B125" s="11" t="str">
        <x:v>2027-03-05</x:v>
      </x:c>
      <x:c r="C125" s="11" t="str">
        <x:v>五</x:v>
      </x:c>
      <x:c r="D125" s="11" t="str">
        <x:v>SC-1805</x:v>
      </x:c>
      <x:c r="E125" s="11" t="str">
        <x:v>Phase-18 可观测性</x:v>
      </x:c>
      <x:c r="F125" s="11" t="str">
        <x:v>Should</x:v>
      </x:c>
      <x:c r="G125" s="11" t="str">
        <x:v>开发/验证</x:v>
      </x:c>
      <x:c r="H125" s="11" t="str">
        <x:v>添加业务指标：下单成功数、库存不足数、消息DLQ数量</x:v>
      </x:c>
      <x:c r="I125" s="11" t="str">
        <x:v>BusinessMetrics</x:v>
      </x:c>
      <x:c r="J125" s="11" t="str">
        <x:v>指标标签无用户ID等高基数个人信息</x:v>
      </x:c>
      <x:c r="K125" s="11" t="str">
        <x:v>接口异常/数据边界</x:v>
      </x:c>
      <x:c r="L125" s="11" t="str">
        <x:v>独立验收时使用L0/L1；AI只在验收后做复盘。</x:v>
      </x:c>
      <x:c r="M125" s="14" t="n">
        <x:v>1</x:v>
      </x:c>
      <x:c r="N125" s="16"/>
      <x:c r="O125" s="17" t="str">
        <x:v>未开始</x:v>
      </x:c>
      <x:c r="P125" s="17" t="str">
        <x:v>待验收</x:v>
      </x:c>
      <x:c r="Q125" s="17"/>
      <x:c r="R125" s="17"/>
      <x:c r="S125" s="11" t="str">
        <x:f>IF(AND(O125="已完成",P125="通过",LEN(Q125)&gt;0,LEN(R125)&gt;0),"可计入",IF(O125="已取消","已取消","待证据"))</x:f>
        <x:v>待证据</x:v>
      </x:c>
      <x:c r="T125" s="11"/>
      <x:c r="U125" s="11"/>
      <x:c r="V125" s="11"/>
      <x:c r="W125" s="11" t="str">
        <x:v>算法：二叉树DFS</x:v>
      </x:c>
    </x:row>
    <x:row r="126" ht="45" customHeight="1">
      <x:c r="A126" s="11" t="n">
        <x:v>18</x:v>
      </x:c>
      <x:c r="B126" s="11" t="str">
        <x:v>2027-03-06</x:v>
      </x:c>
      <x:c r="C126" s="11" t="str">
        <x:v>六</x:v>
      </x:c>
      <x:c r="D126" s="11" t="str">
        <x:v>SC-1806</x:v>
      </x:c>
      <x:c r="E126" s="11" t="str">
        <x:v>Phase-18 可观测性</x:v>
      </x:c>
      <x:c r="F126" s="11" t="str">
        <x:v>Should</x:v>
      </x:c>
      <x:c r="G126" s="11" t="str">
        <x:v>开发/验证</x:v>
      </x:c>
      <x:c r="H126" s="11" t="str">
        <x:v>模拟数据库变慢，依据指标和trace定位瓶颈</x:v>
      </x:c>
      <x:c r="I126" s="11" t="str">
        <x:v>docs/incidents/db-slow.md</x:v>
      </x:c>
      <x:c r="J126" s="11" t="str">
        <x:v>记录时间线、证据、解决和预防</x:v>
      </x:c>
      <x:c r="K126" s="11" t="str">
        <x:v>接口异常/数据边界</x:v>
      </x:c>
      <x:c r="L126" s="11" t="str">
        <x:v>核心路径先独立设计与实现；AI仅提示/审查，提交前能口述原理。</x:v>
      </x:c>
      <x:c r="M126" s="14" t="n">
        <x:v>2.5</x:v>
      </x:c>
      <x:c r="N126" s="16"/>
      <x:c r="O126" s="17" t="str">
        <x:v>未开始</x:v>
      </x:c>
      <x:c r="P126" s="17" t="str">
        <x:v>待验收</x:v>
      </x:c>
      <x:c r="Q126" s="17"/>
      <x:c r="R126" s="17"/>
      <x:c r="S126" s="11" t="str">
        <x:f>IF(AND(O126="已完成",P126="通过",LEN(Q126)&gt;0,LEN(R126)&gt;0),"可计入",IF(O126="已取消","已取消","待证据"))</x:f>
        <x:v>待证据</x:v>
      </x:c>
      <x:c r="T126" s="11"/>
      <x:c r="U126" s="11"/>
      <x:c r="V126" s="11"/>
      <x:c r="W126" s="11" t="str">
        <x:v>求职/返工缓冲或补测试</x:v>
      </x:c>
    </x:row>
    <x:row r="127" ht="45" customHeight="1">
      <x:c r="A127" s="11" t="n">
        <x:v>18</x:v>
      </x:c>
      <x:c r="B127" s="11" t="str">
        <x:v>2027-03-07</x:v>
      </x:c>
      <x:c r="C127" s="11" t="str">
        <x:v>日</x:v>
      </x:c>
      <x:c r="D127" s="11" t="str">
        <x:v>SC-1807</x:v>
      </x:c>
      <x:c r="E127" s="11" t="str">
        <x:v>Phase-18 可观测性</x:v>
      </x:c>
      <x:c r="F127" s="11" t="str">
        <x:v>Should</x:v>
      </x:c>
      <x:c r="G127" s="11" t="str">
        <x:v>缓冲/回归</x:v>
      </x:c>
      <x:c r="H127" s="11" t="str">
        <x:v>编写服务失效、DB慢查询、MQ积压、Redis故障的值班手册和严重度响应约定</x:v>
      </x:c>
      <x:c r="I127" s="11" t="str">
        <x:v>docs/runbook/incident-response.md</x:v>
      </x:c>
      <x:c r="J127" s="11" t="str">
        <x:v>每条SOP有观测信号、隔离步骤、恢复和验证命令</x:v>
      </x:c>
      <x:c r="K127" s="11" t="str">
        <x:v>接口异常/数据边界</x:v>
      </x:c>
      <x:c r="L127" s="11" t="str">
        <x:v>演练是本地/测试环境，不冒充线上事故</x:v>
      </x:c>
      <x:c r="M127" s="14" t="n">
        <x:v>0.5</x:v>
      </x:c>
      <x:c r="N127" s="16"/>
      <x:c r="O127" s="17" t="str">
        <x:v>未开始</x:v>
      </x:c>
      <x:c r="P127" s="17" t="str">
        <x:v>待验收</x:v>
      </x:c>
      <x:c r="Q127" s="17"/>
      <x:c r="R127" s="17"/>
      <x:c r="S127" s="11" t="str">
        <x:f>IF(AND(O127="已完成",P127="通过",LEN(Q127)&gt;0,LEN(R127)&gt;0),"可计入",IF(O127="已取消","已取消","待证据"))</x:f>
        <x:v>待证据</x:v>
      </x:c>
      <x:c r="T127" s="11"/>
      <x:c r="U127" s="11"/>
      <x:c r="V127" s="11"/>
      <x:c r="W127" s="11" t="str">
        <x:v>周复盘+证据归档</x:v>
      </x:c>
    </x:row>
    <x:row r="128" ht="45" customHeight="1">
      <x:c r="A128" s="11" t="n">
        <x:v>19</x:v>
      </x:c>
      <x:c r="B128" s="11" t="str">
        <x:v>2027-03-08</x:v>
      </x:c>
      <x:c r="C128" s="11" t="str">
        <x:v>一</x:v>
      </x:c>
      <x:c r="D128" s="11" t="str">
        <x:v>SC-1901</x:v>
      </x:c>
      <x:c r="E128" s="11" t="str">
        <x:v>Phase-19 AI接入底座</x:v>
      </x:c>
      <x:c r="F128" s="11" t="str">
        <x:v>Must</x:v>
      </x:c>
      <x:c r="G128" s="11" t="str">
        <x:v>设计/合同</x:v>
      </x:c>
      <x:c r="H128" s="11" t="str">
        <x:v>明确AI需求：FAQ答复、订单只读查询、客服草稿；明确禁止自动退款</x:v>
      </x:c>
      <x:c r="I128" s="11" t="str">
        <x:v>docs/prd/ai-assistant.md</x:v>
      </x:c>
      <x:c r="J128" s="11" t="str">
        <x:v>边界明确且包含失败/转人工流程</x:v>
      </x:c>
      <x:c r="K128" s="11" t="str">
        <x:v>AI服务故障</x:v>
      </x:c>
      <x:c r="L128" s="11" t="str">
        <x:v>核心路径先独立设计与实现；AI仅提示/审查，提交前能口述原理。</x:v>
      </x:c>
      <x:c r="M128" s="14" t="n">
        <x:v>1.5</x:v>
      </x:c>
      <x:c r="N128" s="16"/>
      <x:c r="O128" s="17" t="str">
        <x:v>未开始</x:v>
      </x:c>
      <x:c r="P128" s="17" t="str">
        <x:v>待验收</x:v>
      </x:c>
      <x:c r="Q128" s="17"/>
      <x:c r="R128" s="17"/>
      <x:c r="S128" s="11" t="str">
        <x:f>IF(AND(O128="已完成",P128="通过",LEN(Q128)&gt;0,LEN(R128)&gt;0),"可计入",IF(O128="已取消","已取消","待证据"))</x:f>
        <x:v>待证据</x:v>
      </x:c>
      <x:c r="T128" s="11"/>
      <x:c r="U128" s="11"/>
      <x:c r="V128" s="11"/>
      <x:c r="W128" s="11" t="str">
        <x:v>算法：贪心基础</x:v>
      </x:c>
    </x:row>
    <x:row r="129" ht="45" customHeight="1">
      <x:c r="A129" s="11" t="n">
        <x:v>19</x:v>
      </x:c>
      <x:c r="B129" s="11" t="str">
        <x:v>2027-03-09</x:v>
      </x:c>
      <x:c r="C129" s="11" t="str">
        <x:v>二</x:v>
      </x:c>
      <x:c r="D129" s="11" t="str">
        <x:v>SC-1902</x:v>
      </x:c>
      <x:c r="E129" s="11" t="str">
        <x:v>Phase-19 AI接入底座</x:v>
      </x:c>
      <x:c r="F129" s="11" t="str">
        <x:v>Must</x:v>
      </x:c>
      <x:c r="G129" s="11" t="str">
        <x:v>开发/验证</x:v>
      </x:c>
      <x:c r="H129" s="11" t="str">
        <x:v>在官方文档确认Spring Boot与Spring AI依赖兼容后写选型ADR，保持AI服务适配器可替换</x:v>
      </x:c>
      <x:c r="I129" s="11" t="str">
        <x:v>docs/adr/spring-ai-selection.md + pom.xml</x:v>
      </x:c>
      <x:c r="J129" s="11" t="str">
        <x:v>记录BOM、Java版本、依赖树和一条编译测试</x:v>
      </x:c>
      <x:c r="K129" s="11" t="str">
        <x:v>AI服务故障</x:v>
      </x:c>
      <x:c r="L129" s="11" t="str">
        <x:v>不同时塞Spring AI和LangChain4j</x:v>
      </x:c>
      <x:c r="M129" s="14" t="n">
        <x:v>1.5</x:v>
      </x:c>
      <x:c r="N129" s="16"/>
      <x:c r="O129" s="17" t="str">
        <x:v>未开始</x:v>
      </x:c>
      <x:c r="P129" s="17" t="str">
        <x:v>待验收</x:v>
      </x:c>
      <x:c r="Q129" s="17"/>
      <x:c r="R129" s="17"/>
      <x:c r="S129" s="11" t="str">
        <x:f>IF(AND(O129="已完成",P129="通过",LEN(Q129)&gt;0,LEN(R129)&gt;0),"可计入",IF(O129="已取消","已取消","待证据"))</x:f>
        <x:v>待证据</x:v>
      </x:c>
      <x:c r="T129" s="11"/>
      <x:c r="U129" s="11"/>
      <x:c r="V129" s="11"/>
      <x:c r="W129" s="11" t="str">
        <x:v>基础：HTTP客户端超时与容错</x:v>
      </x:c>
    </x:row>
    <x:row r="130" ht="45" customHeight="1">
      <x:c r="A130" s="11" t="n">
        <x:v>19</x:v>
      </x:c>
      <x:c r="B130" s="11" t="str">
        <x:v>2027-03-10</x:v>
      </x:c>
      <x:c r="C130" s="11" t="str">
        <x:v>三</x:v>
      </x:c>
      <x:c r="D130" s="11" t="str">
        <x:v>SC-1903</x:v>
      </x:c>
      <x:c r="E130" s="11" t="str">
        <x:v>Phase-19 AI接入底座</x:v>
      </x:c>
      <x:c r="F130" s="11" t="str">
        <x:v>Must</x:v>
      </x:c>
      <x:c r="G130" s="11" t="str">
        <x:v>设计/合同</x:v>
      </x:c>
      <x:c r="H130" s="11" t="str">
        <x:v>设计AiGateway接口、真实Provider与FakeProvider切换</x:v>
      </x:c>
      <x:c r="I130" s="11" t="str">
        <x:v>ai/port/AiGateway.java</x:v>
      </x:c>
      <x:c r="J130" s="11" t="str">
        <x:v>本地无API Key也能跑假模型测试</x:v>
      </x:c>
      <x:c r="K130" s="11" t="str">
        <x:v>AI服务故障</x:v>
      </x:c>
      <x:c r="L130" s="11" t="str">
        <x:v>核心路径先独立设计与实现；AI仅提示/审查，提交前能口述原理。</x:v>
      </x:c>
      <x:c r="M130" s="14" t="n">
        <x:v>1.5</x:v>
      </x:c>
      <x:c r="N130" s="16"/>
      <x:c r="O130" s="17" t="str">
        <x:v>未开始</x:v>
      </x:c>
      <x:c r="P130" s="17" t="str">
        <x:v>待验收</x:v>
      </x:c>
      <x:c r="Q130" s="17"/>
      <x:c r="R130" s="17"/>
      <x:c r="S130" s="11" t="str">
        <x:f>IF(AND(O130="已完成",P130="通过",LEN(Q130)&gt;0,LEN(R130)&gt;0),"可计入",IF(O130="已取消","已取消","待证据"))</x:f>
        <x:v>待证据</x:v>
      </x:c>
      <x:c r="T130" s="11"/>
      <x:c r="U130" s="11"/>
      <x:c r="V130" s="11"/>
      <x:c r="W130" s="11" t="str">
        <x:v>算法：贪心基础</x:v>
      </x:c>
    </x:row>
    <x:row r="131" ht="45" customHeight="1">
      <x:c r="A131" s="11" t="n">
        <x:v>19</x:v>
      </x:c>
      <x:c r="B131" s="11" t="str">
        <x:v>2027-03-11</x:v>
      </x:c>
      <x:c r="C131" s="11" t="str">
        <x:v>四</x:v>
      </x:c>
      <x:c r="D131" s="11" t="str">
        <x:v>SC-1904</x:v>
      </x:c>
      <x:c r="E131" s="11" t="str">
        <x:v>Phase-19 AI接入底座</x:v>
      </x:c>
      <x:c r="F131" s="11" t="str">
        <x:v>Must</x:v>
      </x:c>
      <x:c r="G131" s="11" t="str">
        <x:v>开发/验证</x:v>
      </x:c>
      <x:c r="H131" s="11" t="str">
        <x:v>将模型凭据放环境变量/密钥管理，设置超时和输出长度上限</x:v>
      </x:c>
      <x:c r="I131" s="11" t="str">
        <x:v>AiProviderConfig</x:v>
      </x:c>
      <x:c r="J131" s="11" t="str">
        <x:v>缺Key时安全失败，密钥不进日志</x:v>
      </x:c>
      <x:c r="K131" s="11" t="str">
        <x:v>AI服务故障</x:v>
      </x:c>
      <x:c r="L131" s="11" t="str">
        <x:v>核心路径先独立设计与实现；AI仅提示/审查，提交前能口述原理。</x:v>
      </x:c>
      <x:c r="M131" s="14" t="n">
        <x:v>1.5</x:v>
      </x:c>
      <x:c r="N131" s="16"/>
      <x:c r="O131" s="17" t="str">
        <x:v>未开始</x:v>
      </x:c>
      <x:c r="P131" s="17" t="str">
        <x:v>待验收</x:v>
      </x:c>
      <x:c r="Q131" s="17"/>
      <x:c r="R131" s="17"/>
      <x:c r="S131" s="11" t="str">
        <x:f>IF(AND(O131="已完成",P131="通过",LEN(Q131)&gt;0,LEN(R131)&gt;0),"可计入",IF(O131="已取消","已取消","待证据"))</x:f>
        <x:v>待证据</x:v>
      </x:c>
      <x:c r="T131" s="11"/>
      <x:c r="U131" s="11"/>
      <x:c r="V131" s="11"/>
      <x:c r="W131" s="11" t="str">
        <x:v>基础：HTTP客户端超时与容错</x:v>
      </x:c>
    </x:row>
    <x:row r="132" ht="45" customHeight="1">
      <x:c r="A132" s="11" t="n">
        <x:v>19</x:v>
      </x:c>
      <x:c r="B132" s="11" t="str">
        <x:v>2027-03-12</x:v>
      </x:c>
      <x:c r="C132" s="11" t="str">
        <x:v>五</x:v>
      </x:c>
      <x:c r="D132" s="11" t="str">
        <x:v>SC-1905</x:v>
      </x:c>
      <x:c r="E132" s="11" t="str">
        <x:v>Phase-19 AI接入底座</x:v>
      </x:c>
      <x:c r="F132" s="11" t="str">
        <x:v>Must</x:v>
      </x:c>
      <x:c r="G132" s="11" t="str">
        <x:v>开发/验证</x:v>
      </x:c>
      <x:c r="H132" s="11" t="str">
        <x:v>实现POST /api/v1/ai/chat的单轮基础问答与FakeProvider，明确模型失败时返回码</x:v>
      </x:c>
      <x:c r="I132" s="11" t="str">
        <x:v>ai/api/AiChatController + FakeAiGatewayTest</x:v>
      </x:c>
      <x:c r="J132" s="11" t="str">
        <x:v>无API Key可跑CI，外部模型故障不阻塞订单API</x:v>
      </x:c>
      <x:c r="K132" s="11" t="str">
        <x:v>AI服务故障</x:v>
      </x:c>
      <x:c r="L132" s="11" t="str">
        <x:v>AI输出只作为低可信文本</x:v>
      </x:c>
      <x:c r="M132" s="14" t="n">
        <x:v>1</x:v>
      </x:c>
      <x:c r="N132" s="16"/>
      <x:c r="O132" s="17" t="str">
        <x:v>未开始</x:v>
      </x:c>
      <x:c r="P132" s="17" t="str">
        <x:v>待验收</x:v>
      </x:c>
      <x:c r="Q132" s="17"/>
      <x:c r="R132" s="17"/>
      <x:c r="S132" s="11" t="str">
        <x:f>IF(AND(O132="已完成",P132="通过",LEN(Q132)&gt;0,LEN(R132)&gt;0),"可计入",IF(O132="已取消","已取消","待证据"))</x:f>
        <x:v>待证据</x:v>
      </x:c>
      <x:c r="T132" s="11"/>
      <x:c r="U132" s="11"/>
      <x:c r="V132" s="11"/>
      <x:c r="W132" s="11" t="str">
        <x:v>算法：贪心基础</x:v>
      </x:c>
    </x:row>
    <x:row r="133" ht="45" customHeight="1">
      <x:c r="A133" s="11" t="n">
        <x:v>19</x:v>
      </x:c>
      <x:c r="B133" s="11" t="str">
        <x:v>2027-03-13</x:v>
      </x:c>
      <x:c r="C133" s="11" t="str">
        <x:v>六</x:v>
      </x:c>
      <x:c r="D133" s="11" t="str">
        <x:v>SC-1906</x:v>
      </x:c>
      <x:c r="E133" s="11" t="str">
        <x:v>Phase-19 AI接入底座</x:v>
      </x:c>
      <x:c r="F133" s="11" t="str">
        <x:v>Must</x:v>
      </x:c>
      <x:c r="G133" s="11" t="str">
        <x:v>开发/验证</x:v>
      </x:c>
      <x:c r="H133" s="11" t="str">
        <x:v>为模型网关写契约测试，模拟响应慢、错误码、空响应</x:v>
      </x:c>
      <x:c r="I133" s="11" t="str">
        <x:v>AiGatewayContractTest</x:v>
      </x:c>
      <x:c r="J133" s="11" t="str">
        <x:v>不依赖真实付费API即可通过CI</x:v>
      </x:c>
      <x:c r="K133" s="11" t="str">
        <x:v>AI服务故障</x:v>
      </x:c>
      <x:c r="L133" s="11" t="str">
        <x:v>核心路径先独立设计与实现；AI仅提示/审查，提交前能口述原理。</x:v>
      </x:c>
      <x:c r="M133" s="14" t="n">
        <x:v>2.5</x:v>
      </x:c>
      <x:c r="N133" s="16"/>
      <x:c r="O133" s="17" t="str">
        <x:v>未开始</x:v>
      </x:c>
      <x:c r="P133" s="17" t="str">
        <x:v>待验收</x:v>
      </x:c>
      <x:c r="Q133" s="17"/>
      <x:c r="R133" s="17"/>
      <x:c r="S133" s="11" t="str">
        <x:f>IF(AND(O133="已完成",P133="通过",LEN(Q133)&gt;0,LEN(R133)&gt;0),"可计入",IF(O133="已取消","已取消","待证据"))</x:f>
        <x:v>待证据</x:v>
      </x:c>
      <x:c r="T133" s="11"/>
      <x:c r="U133" s="11"/>
      <x:c r="V133" s="11"/>
      <x:c r="W133" s="11" t="str">
        <x:v>求职/返工缓冲或补测试</x:v>
      </x:c>
    </x:row>
    <x:row r="134" ht="45" customHeight="1">
      <x:c r="A134" s="11" t="n">
        <x:v>19</x:v>
      </x:c>
      <x:c r="B134" s="11" t="str">
        <x:v>2027-03-14</x:v>
      </x:c>
      <x:c r="C134" s="11" t="str">
        <x:v>日</x:v>
      </x:c>
      <x:c r="D134" s="11" t="str">
        <x:v>SC-1907</x:v>
      </x:c>
      <x:c r="E134" s="11" t="str">
        <x:v>Phase-19 AI接入底座</x:v>
      </x:c>
      <x:c r="F134" s="11" t="str">
        <x:v>Must</x:v>
      </x:c>
      <x:c r="G134" s="11" t="str">
        <x:v>缓冲/回归</x:v>
      </x:c>
      <x:c r="H134" s="11" t="str">
        <x:v>记录真实API试运行的token、延迟、成本样本（可选）</x:v>
      </x:c>
      <x:c r="I134" s="11" t="str">
        <x:v>docs/ai/provider-baseline.md</x:v>
      </x:c>
      <x:c r="J134" s="11" t="str">
        <x:v>不能调用付费API也有Fake演示路径</x:v>
      </x:c>
      <x:c r="K134" s="11" t="str">
        <x:v>AI服务故障</x:v>
      </x:c>
      <x:c r="L134" s="11" t="str">
        <x:v>核心路径先独立设计与实现；AI仅提示/审查，提交前能口述原理。</x:v>
      </x:c>
      <x:c r="M134" s="14" t="n">
        <x:v>0.5</x:v>
      </x:c>
      <x:c r="N134" s="16"/>
      <x:c r="O134" s="17" t="str">
        <x:v>未开始</x:v>
      </x:c>
      <x:c r="P134" s="17" t="str">
        <x:v>待验收</x:v>
      </x:c>
      <x:c r="Q134" s="17"/>
      <x:c r="R134" s="17"/>
      <x:c r="S134" s="11" t="str">
        <x:f>IF(AND(O134="已完成",P134="通过",LEN(Q134)&gt;0,LEN(R134)&gt;0),"可计入",IF(O134="已取消","已取消","待证据"))</x:f>
        <x:v>待证据</x:v>
      </x:c>
      <x:c r="T134" s="11"/>
      <x:c r="U134" s="11"/>
      <x:c r="V134" s="11"/>
      <x:c r="W134" s="11" t="str">
        <x:v>周复盘+证据归档</x:v>
      </x:c>
    </x:row>
    <x:row r="135" ht="45" customHeight="1">
      <x:c r="A135" s="11" t="n">
        <x:v>20</x:v>
      </x:c>
      <x:c r="B135" s="11" t="str">
        <x:v>2027-03-15</x:v>
      </x:c>
      <x:c r="C135" s="11" t="str">
        <x:v>一</x:v>
      </x:c>
      <x:c r="D135" s="11" t="str">
        <x:v>SC-2001</x:v>
      </x:c>
      <x:c r="E135" s="11" t="str">
        <x:v>Phase-20 AI对话体验</x:v>
      </x:c>
      <x:c r="F135" s="11" t="str">
        <x:v>Must</x:v>
      </x:c>
      <x:c r="G135" s="11" t="str">
        <x:v>设计/合同</x:v>
      </x:c>
      <x:c r="H135" s="11" t="str">
        <x:v>设计AI会话表和保留策略，不存不必要的隐私</x:v>
      </x:c>
      <x:c r="I135" s="11" t="str">
        <x:v>V12__ai_conversation.sql</x:v>
      </x:c>
      <x:c r="J135" s="11" t="str">
        <x:v>会话与登录用户绑定</x:v>
      </x:c>
      <x:c r="K135" s="11" t="str">
        <x:v>AI服务故障</x:v>
      </x:c>
      <x:c r="L135" s="11" t="str">
        <x:v>核心路径先独立设计与实现；AI仅提示/审查，提交前能口述原理。</x:v>
      </x:c>
      <x:c r="M135" s="14" t="n">
        <x:v>1.5</x:v>
      </x:c>
      <x:c r="N135" s="16"/>
      <x:c r="O135" s="17" t="str">
        <x:v>未开始</x:v>
      </x:c>
      <x:c r="P135" s="17" t="str">
        <x:v>待验收</x:v>
      </x:c>
      <x:c r="Q135" s="17"/>
      <x:c r="R135" s="17"/>
      <x:c r="S135" s="11" t="str">
        <x:f>IF(AND(O135="已完成",P135="通过",LEN(Q135)&gt;0,LEN(R135)&gt;0),"可计入",IF(O135="已取消","已取消","待证据"))</x:f>
        <x:v>待证据</x:v>
      </x:c>
      <x:c r="T135" s="11"/>
      <x:c r="U135" s="11"/>
      <x:c r="V135" s="11"/>
      <x:c r="W135" s="11" t="str">
        <x:v>算法：队列/滑动窗口</x:v>
      </x:c>
    </x:row>
    <x:row r="136" ht="45" customHeight="1">
      <x:c r="A136" s="11" t="n">
        <x:v>20</x:v>
      </x:c>
      <x:c r="B136" s="11" t="str">
        <x:v>2027-03-16</x:v>
      </x:c>
      <x:c r="C136" s="11" t="str">
        <x:v>二</x:v>
      </x:c>
      <x:c r="D136" s="11" t="str">
        <x:v>SC-2002</x:v>
      </x:c>
      <x:c r="E136" s="11" t="str">
        <x:v>Phase-20 AI对话体验</x:v>
      </x:c>
      <x:c r="F136" s="11" t="str">
        <x:v>Must</x:v>
      </x:c>
      <x:c r="G136" s="11" t="str">
        <x:v>开发/验证</x:v>
      </x:c>
      <x:c r="H136" s="11" t="str">
        <x:v>实现基本会话上下文读取/写入及条数上限</x:v>
      </x:c>
      <x:c r="I136" s="11" t="str">
        <x:v>AiConversationService</x:v>
      </x:c>
      <x:c r="J136" s="11" t="str">
        <x:v>不能读取别人的会话历史</x:v>
      </x:c>
      <x:c r="K136" s="11" t="str">
        <x:v>AI服务故障</x:v>
      </x:c>
      <x:c r="L136" s="11" t="str">
        <x:v>核心路径先独立设计与实现；AI仅提示/审查，提交前能口述原理。</x:v>
      </x:c>
      <x:c r="M136" s="14" t="n">
        <x:v>1.5</x:v>
      </x:c>
      <x:c r="N136" s="16"/>
      <x:c r="O136" s="17" t="str">
        <x:v>未开始</x:v>
      </x:c>
      <x:c r="P136" s="17" t="str">
        <x:v>待验收</x:v>
      </x:c>
      <x:c r="Q136" s="17"/>
      <x:c r="R136" s="17"/>
      <x:c r="S136" s="11" t="str">
        <x:f>IF(AND(O136="已完成",P136="通过",LEN(Q136)&gt;0,LEN(R136)&gt;0),"可计入",IF(O136="已取消","已取消","待证据"))</x:f>
        <x:v>待证据</x:v>
      </x:c>
      <x:c r="T136" s="11"/>
      <x:c r="U136" s="11"/>
      <x:c r="V136" s="11"/>
      <x:c r="W136" s="11" t="str">
        <x:v>基础：SSE与长连接资源释放</x:v>
      </x:c>
    </x:row>
    <x:row r="137" ht="45" customHeight="1">
      <x:c r="A137" s="11" t="n">
        <x:v>20</x:v>
      </x:c>
      <x:c r="B137" s="11" t="str">
        <x:v>2027-03-17</x:v>
      </x:c>
      <x:c r="C137" s="11" t="str">
        <x:v>三</x:v>
      </x:c>
      <x:c r="D137" s="11" t="str">
        <x:v>SC-2003</x:v>
      </x:c>
      <x:c r="E137" s="11" t="str">
        <x:v>Phase-20 AI对话体验</x:v>
      </x:c>
      <x:c r="F137" s="11" t="str">
        <x:v>Must</x:v>
      </x:c>
      <x:c r="G137" s="11" t="str">
        <x:v>开发/验证</x:v>
      </x:c>
      <x:c r="H137" s="11" t="str">
        <x:v>将system prompt放版本化资源文件，不写死在Controller</x:v>
      </x:c>
      <x:c r="I137" s="11" t="str">
        <x:v>resources/prompts/support-v1.txt</x:v>
      </x:c>
      <x:c r="J137" s="11" t="str">
        <x:v>提示词修改可审查和回滚</x:v>
      </x:c>
      <x:c r="K137" s="11" t="str">
        <x:v>AI服务故障</x:v>
      </x:c>
      <x:c r="L137" s="11" t="str">
        <x:v>核心路径先独立设计与实现；AI仅提示/审查，提交前能口述原理。</x:v>
      </x:c>
      <x:c r="M137" s="14" t="n">
        <x:v>1.5</x:v>
      </x:c>
      <x:c r="N137" s="16"/>
      <x:c r="O137" s="17" t="str">
        <x:v>未开始</x:v>
      </x:c>
      <x:c r="P137" s="17" t="str">
        <x:v>待验收</x:v>
      </x:c>
      <x:c r="Q137" s="17"/>
      <x:c r="R137" s="17"/>
      <x:c r="S137" s="11" t="str">
        <x:f>IF(AND(O137="已完成",P137="通过",LEN(Q137)&gt;0,LEN(R137)&gt;0),"可计入",IF(O137="已取消","已取消","待证据"))</x:f>
        <x:v>待证据</x:v>
      </x:c>
      <x:c r="T137" s="11"/>
      <x:c r="U137" s="11"/>
      <x:c r="V137" s="11"/>
      <x:c r="W137" s="11" t="str">
        <x:v>算法：队列/滑动窗口</x:v>
      </x:c>
    </x:row>
    <x:row r="138" ht="45" customHeight="1">
      <x:c r="A138" s="11" t="n">
        <x:v>20</x:v>
      </x:c>
      <x:c r="B138" s="11" t="str">
        <x:v>2027-03-18</x:v>
      </x:c>
      <x:c r="C138" s="11" t="str">
        <x:v>四</x:v>
      </x:c>
      <x:c r="D138" s="11" t="str">
        <x:v>SC-2004</x:v>
      </x:c>
      <x:c r="E138" s="11" t="str">
        <x:v>Phase-20 AI对话体验</x:v>
      </x:c>
      <x:c r="F138" s="11" t="str">
        <x:v>Must</x:v>
      </x:c>
      <x:c r="G138" s="11" t="str">
        <x:v>开发/验证</x:v>
      </x:c>
      <x:c r="H138" s="11" t="str">
        <x:v>实现SSE流式响应（可在Mock模式下仿真）</x:v>
      </x:c>
      <x:c r="I138" s="11" t="str">
        <x:v>GET/POST /ai/chat/stream</x:v>
      </x:c>
      <x:c r="J138" s="11" t="str">
        <x:v>客户端断开能停止处理并释放资源</x:v>
      </x:c>
      <x:c r="K138" s="11" t="str">
        <x:v>AI服务故障</x:v>
      </x:c>
      <x:c r="L138" s="11" t="str">
        <x:v>核心路径先独立设计与实现；AI仅提示/审查，提交前能口述原理。</x:v>
      </x:c>
      <x:c r="M138" s="14" t="n">
        <x:v>1.5</x:v>
      </x:c>
      <x:c r="N138" s="16"/>
      <x:c r="O138" s="17" t="str">
        <x:v>未开始</x:v>
      </x:c>
      <x:c r="P138" s="17" t="str">
        <x:v>待验收</x:v>
      </x:c>
      <x:c r="Q138" s="17"/>
      <x:c r="R138" s="17"/>
      <x:c r="S138" s="11" t="str">
        <x:f>IF(AND(O138="已完成",P138="通过",LEN(Q138)&gt;0,LEN(R138)&gt;0),"可计入",IF(O138="已取消","已取消","待证据"))</x:f>
        <x:v>待证据</x:v>
      </x:c>
      <x:c r="T138" s="11"/>
      <x:c r="U138" s="11"/>
      <x:c r="V138" s="11"/>
      <x:c r="W138" s="11" t="str">
        <x:v>基础：SSE与长连接资源释放</x:v>
      </x:c>
    </x:row>
    <x:row r="139" ht="45" customHeight="1">
      <x:c r="A139" s="11" t="n">
        <x:v>20</x:v>
      </x:c>
      <x:c r="B139" s="11" t="str">
        <x:v>2027-03-19</x:v>
      </x:c>
      <x:c r="C139" s="11" t="str">
        <x:v>五</x:v>
      </x:c>
      <x:c r="D139" s="11" t="str">
        <x:v>SC-2005</x:v>
      </x:c>
      <x:c r="E139" s="11" t="str">
        <x:v>Phase-20 AI对话体验</x:v>
      </x:c>
      <x:c r="F139" s="11" t="str">
        <x:v>Must</x:v>
      </x:c>
      <x:c r="G139" s="11" t="str">
        <x:v>开发/验证</x:v>
      </x:c>
      <x:c r="H139" s="11" t="str">
        <x:v>限制单用户输入大小/请求频率/并发/上下文窗口，并为SSE配置断开时资源释放</x:v>
      </x:c>
      <x:c r="I139" s="11" t="str">
        <x:v>AiQuotaPolicy + AIStreamCancelIT</x:v>
      </x:c>
      <x:c r="J139" s="11" t="str">
        <x:v>超过额度429，断连后任务能取消和计费闭环</x:v>
      </x:c>
      <x:c r="K139" s="11" t="str">
        <x:v>AI服务故障</x:v>
      </x:c>
      <x:c r="L139" s="11" t="str">
        <x:v>优先做安全边界再做聊天体验</x:v>
      </x:c>
      <x:c r="M139" s="14" t="n">
        <x:v>1</x:v>
      </x:c>
      <x:c r="N139" s="16"/>
      <x:c r="O139" s="17" t="str">
        <x:v>未开始</x:v>
      </x:c>
      <x:c r="P139" s="17" t="str">
        <x:v>待验收</x:v>
      </x:c>
      <x:c r="Q139" s="17"/>
      <x:c r="R139" s="17"/>
      <x:c r="S139" s="11" t="str">
        <x:f>IF(AND(O139="已完成",P139="通过",LEN(Q139)&gt;0,LEN(R139)&gt;0),"可计入",IF(O139="已取消","已取消","待证据"))</x:f>
        <x:v>待证据</x:v>
      </x:c>
      <x:c r="T139" s="11"/>
      <x:c r="U139" s="11"/>
      <x:c r="V139" s="11"/>
      <x:c r="W139" s="11" t="str">
        <x:v>算法：队列/滑动窗口</x:v>
      </x:c>
    </x:row>
    <x:row r="140" ht="45" customHeight="1">
      <x:c r="A140" s="11" t="n">
        <x:v>20</x:v>
      </x:c>
      <x:c r="B140" s="11" t="str">
        <x:v>2027-03-20</x:v>
      </x:c>
      <x:c r="C140" s="11" t="str">
        <x:v>六</x:v>
      </x:c>
      <x:c r="D140" s="11" t="str">
        <x:v>SC-2006</x:v>
      </x:c>
      <x:c r="E140" s="11" t="str">
        <x:v>Phase-20 AI对话体验</x:v>
      </x:c>
      <x:c r="F140" s="11" t="str">
        <x:v>Must</x:v>
      </x:c>
      <x:c r="G140" s="11" t="str">
        <x:v>开发/验证</x:v>
      </x:c>
      <x:c r="H140" s="11" t="str">
        <x:v>模拟Provider 429、5xx、超时，按场景使用有限重试/降级</x:v>
      </x:c>
      <x:c r="I140" s="11" t="str">
        <x:v>AiFailurePolicy</x:v>
      </x:c>
      <x:c r="J140" s="11" t="str">
        <x:v>不对不可重试错误无限重试</x:v>
      </x:c>
      <x:c r="K140" s="11" t="str">
        <x:v>AI服务故障</x:v>
      </x:c>
      <x:c r="L140" s="11" t="str">
        <x:v>核心路径先独立设计与实现；AI仅提示/审查，提交前能口述原理。</x:v>
      </x:c>
      <x:c r="M140" s="14" t="n">
        <x:v>2.5</x:v>
      </x:c>
      <x:c r="N140" s="16"/>
      <x:c r="O140" s="17" t="str">
        <x:v>未开始</x:v>
      </x:c>
      <x:c r="P140" s="17" t="str">
        <x:v>待验收</x:v>
      </x:c>
      <x:c r="Q140" s="17"/>
      <x:c r="R140" s="17"/>
      <x:c r="S140" s="11" t="str">
        <x:f>IF(AND(O140="已完成",P140="通过",LEN(Q140)&gt;0,LEN(R140)&gt;0),"可计入",IF(O140="已取消","已取消","待证据"))</x:f>
        <x:v>待证据</x:v>
      </x:c>
      <x:c r="T140" s="11"/>
      <x:c r="U140" s="11"/>
      <x:c r="V140" s="11"/>
      <x:c r="W140" s="11" t="str">
        <x:v>求职/返工缓冲或补测试</x:v>
      </x:c>
    </x:row>
    <x:row r="141" ht="45" customHeight="1">
      <x:c r="A141" s="11" t="n">
        <x:v>20</x:v>
      </x:c>
      <x:c r="B141" s="11" t="str">
        <x:v>2027-03-21</x:v>
      </x:c>
      <x:c r="C141" s="11" t="str">
        <x:v>日</x:v>
      </x:c>
      <x:c r="D141" s="11" t="str">
        <x:v>SC-2007</x:v>
      </x:c>
      <x:c r="E141" s="11" t="str">
        <x:v>Phase-20 AI对话体验</x:v>
      </x:c>
      <x:c r="F141" s="11" t="str">
        <x:v>Must</x:v>
      </x:c>
      <x:c r="G141" s="11" t="str">
        <x:v>缓冲/回归</x:v>
      </x:c>
      <x:c r="H141" s="11" t="str">
        <x:v>做对话体验演示与安全复盘</x:v>
      </x:c>
      <x:c r="I141" s="11" t="str">
        <x:v>docs/ai/chat-demo.md</x:v>
      </x:c>
      <x:c r="J141" s="11" t="str">
        <x:v>5轮对话没有串会话、失控费用或敏感输出</x:v>
      </x:c>
      <x:c r="K141" s="11" t="str">
        <x:v>AI服务故障</x:v>
      </x:c>
      <x:c r="L141" s="11" t="str">
        <x:v>核心路径先独立设计与实现；AI仅提示/审查，提交前能口述原理。</x:v>
      </x:c>
      <x:c r="M141" s="14" t="n">
        <x:v>0.5</x:v>
      </x:c>
      <x:c r="N141" s="16"/>
      <x:c r="O141" s="17" t="str">
        <x:v>未开始</x:v>
      </x:c>
      <x:c r="P141" s="17" t="str">
        <x:v>待验收</x:v>
      </x:c>
      <x:c r="Q141" s="17"/>
      <x:c r="R141" s="17"/>
      <x:c r="S141" s="11" t="str">
        <x:f>IF(AND(O141="已完成",P141="通过",LEN(Q141)&gt;0,LEN(R141)&gt;0),"可计入",IF(O141="已取消","已取消","待证据"))</x:f>
        <x:v>待证据</x:v>
      </x:c>
      <x:c r="T141" s="11"/>
      <x:c r="U141" s="11"/>
      <x:c r="V141" s="11"/>
      <x:c r="W141" s="11" t="str">
        <x:v>周复盘+证据归档</x:v>
      </x:c>
    </x:row>
    <x:row r="142" ht="45" customHeight="1">
      <x:c r="A142" s="11" t="n">
        <x:v>21</x:v>
      </x:c>
      <x:c r="B142" s="11" t="str">
        <x:v>2027-03-22</x:v>
      </x:c>
      <x:c r="C142" s="11" t="str">
        <x:v>一</x:v>
      </x:c>
      <x:c r="D142" s="11" t="str">
        <x:v>SC-2101</x:v>
      </x:c>
      <x:c r="E142" s="11" t="str">
        <x:v>Phase-21 RAG知识库构建</x:v>
      </x:c>
      <x:c r="F142" s="11" t="str">
        <x:v>Must</x:v>
      </x:c>
      <x:c r="G142" s="11" t="str">
        <x:v>设计/合同</x:v>
      </x:c>
      <x:c r="H142" s="11" t="str">
        <x:v>写20–30篇原创/虚构的售后知识条目，附发布日期、版本、可见性和生效时间</x:v>
      </x:c>
      <x:c r="I142" s="11" t="str">
        <x:v>knowledge-base/*.md + manifest.json</x:v>
      </x:c>
      <x:c r="J142" s="11" t="str">
        <x:v>FAQ只使用可公开数据；过期/撤回有对应元数据</x:v>
      </x:c>
      <x:c r="K142" s="11" t="str">
        <x:v>AI知识质量</x:v>
      </x:c>
      <x:c r="L142" s="11" t="str">
        <x:v>不用真实企业隐私和客户资料</x:v>
      </x:c>
      <x:c r="M142" s="14" t="n">
        <x:v>1.5</x:v>
      </x:c>
      <x:c r="N142" s="16"/>
      <x:c r="O142" s="17" t="str">
        <x:v>未开始</x:v>
      </x:c>
      <x:c r="P142" s="17" t="str">
        <x:v>待验收</x:v>
      </x:c>
      <x:c r="Q142" s="17"/>
      <x:c r="R142" s="17"/>
      <x:c r="S142" s="11" t="str">
        <x:f>IF(AND(O142="已完成",P142="通过",LEN(Q142)&gt;0,LEN(R142)&gt;0),"可计入",IF(O142="已取消","已取消","待证据"))</x:f>
        <x:v>待证据</x:v>
      </x:c>
      <x:c r="T142" s="11"/>
      <x:c r="U142" s="11"/>
      <x:c r="V142" s="11"/>
      <x:c r="W142" s="11" t="str">
        <x:v>算法：哈希与二分</x:v>
      </x:c>
    </x:row>
    <x:row r="143" ht="45" customHeight="1">
      <x:c r="A143" s="11" t="n">
        <x:v>21</x:v>
      </x:c>
      <x:c r="B143" s="11" t="str">
        <x:v>2027-03-23</x:v>
      </x:c>
      <x:c r="C143" s="11" t="str">
        <x:v>二</x:v>
      </x:c>
      <x:c r="D143" s="11" t="str">
        <x:v>SC-2102</x:v>
      </x:c>
      <x:c r="E143" s="11" t="str">
        <x:v>Phase-21 RAG知识库构建</x:v>
      </x:c>
      <x:c r="F143" s="11" t="str">
        <x:v>Must</x:v>
      </x:c>
      <x:c r="G143" s="11" t="str">
        <x:v>设计/合同</x:v>
      </x:c>
      <x:c r="H143" s="11" t="str">
        <x:v>设计知识文档表、chunk表元信息：docId/version/visibility</x:v>
      </x:c>
      <x:c r="I143" s="11" t="str">
        <x:v>V13__kb_metadata.sql</x:v>
      </x:c>
      <x:c r="J143" s="11" t="str">
        <x:v>可定位每个chunk原文来源</x:v>
      </x:c>
      <x:c r="K143" s="11" t="str">
        <x:v>AI知识质量</x:v>
      </x:c>
      <x:c r="L143" s="11" t="str">
        <x:v>核心路径先独立设计与实现；AI仅提示/审查，提交前能口述原理。</x:v>
      </x:c>
      <x:c r="M143" s="14" t="n">
        <x:v>1.5</x:v>
      </x:c>
      <x:c r="N143" s="16"/>
      <x:c r="O143" s="17" t="str">
        <x:v>未开始</x:v>
      </x:c>
      <x:c r="P143" s="17" t="str">
        <x:v>待验收</x:v>
      </x:c>
      <x:c r="Q143" s="17"/>
      <x:c r="R143" s="17"/>
      <x:c r="S143" s="11" t="str">
        <x:f>IF(AND(O143="已完成",P143="通过",LEN(Q143)&gt;0,LEN(R143)&gt;0),"可计入",IF(O143="已取消","已取消","待证据"))</x:f>
        <x:v>待证据</x:v>
      </x:c>
      <x:c r="T143" s="11"/>
      <x:c r="U143" s="11"/>
      <x:c r="V143" s="11"/>
      <x:c r="W143" s="11" t="str">
        <x:v>基础：向量检索原理、Embedding版本</x:v>
      </x:c>
    </x:row>
    <x:row r="144" ht="45" customHeight="1">
      <x:c r="A144" s="11" t="n">
        <x:v>21</x:v>
      </x:c>
      <x:c r="B144" s="11" t="str">
        <x:v>2027-03-24</x:v>
      </x:c>
      <x:c r="C144" s="11" t="str">
        <x:v>三</x:v>
      </x:c>
      <x:c r="D144" s="11" t="str">
        <x:v>SC-2103</x:v>
      </x:c>
      <x:c r="E144" s="11" t="str">
        <x:v>Phase-21 RAG知识库构建</x:v>
      </x:c>
      <x:c r="F144" s="11" t="str">
        <x:v>Must</x:v>
      </x:c>
      <x:c r="G144" s="11" t="str">
        <x:v>开发/验证</x:v>
      </x:c>
      <x:c r="H144" s="11" t="str">
        <x:v>建立Qdrant开发环境和最小VectorStore适配，单测使用FakeEmbedding，真实调用隔离</x:v>
      </x:c>
      <x:c r="I144" s="11" t="str">
        <x:v>infra/compose.yaml + KnowledgeVectorAdapter</x:v>
      </x:c>
      <x:c r="J144" s="11" t="str">
        <x:v>CI不依赖付费模型，索引数据可全量重建</x:v>
      </x:c>
      <x:c r="K144" s="11" t="str">
        <x:v>AI知识质量</x:v>
      </x:c>
      <x:c r="L144" s="11" t="str">
        <x:v>明确Embedding维度与集合配置匹配</x:v>
      </x:c>
      <x:c r="M144" s="14" t="n">
        <x:v>1.5</x:v>
      </x:c>
      <x:c r="N144" s="16"/>
      <x:c r="O144" s="17" t="str">
        <x:v>未开始</x:v>
      </x:c>
      <x:c r="P144" s="17" t="str">
        <x:v>待验收</x:v>
      </x:c>
      <x:c r="Q144" s="17"/>
      <x:c r="R144" s="17"/>
      <x:c r="S144" s="11" t="str">
        <x:f>IF(AND(O144="已完成",P144="通过",LEN(Q144)&gt;0,LEN(R144)&gt;0),"可计入",IF(O144="已取消","已取消","待证据"))</x:f>
        <x:v>待证据</x:v>
      </x:c>
      <x:c r="T144" s="11"/>
      <x:c r="U144" s="11"/>
      <x:c r="V144" s="11"/>
      <x:c r="W144" s="11" t="str">
        <x:v>算法：哈希与二分</x:v>
      </x:c>
    </x:row>
    <x:row r="145" ht="45" customHeight="1">
      <x:c r="A145" s="11" t="n">
        <x:v>21</x:v>
      </x:c>
      <x:c r="B145" s="11" t="str">
        <x:v>2027-03-25</x:v>
      </x:c>
      <x:c r="C145" s="11" t="str">
        <x:v>四</x:v>
      </x:c>
      <x:c r="D145" s="11" t="str">
        <x:v>SC-2104</x:v>
      </x:c>
      <x:c r="E145" s="11" t="str">
        <x:v>Phase-21 RAG知识库构建</x:v>
      </x:c>
      <x:c r="F145" s="11" t="str">
        <x:v>Must</x:v>
      </x:c>
      <x:c r="G145" s="11" t="str">
        <x:v>开发/验证</x:v>
      </x:c>
      <x:c r="H145" s="11" t="str">
        <x:v>RAG专题A：文档清洗、切分与chunkID稳定规则；准备不同chunk大小实验的输入集</x:v>
      </x:c>
      <x:c r="I145" s="11" t="str">
        <x:v>KnowledgeChunker + docs/ai/chunking.md</x:v>
      </x:c>
      <x:c r="J145" s="11" t="str">
        <x:v>每个chunk可追踪来源/版本/序号，切分可重复</x:v>
      </x:c>
      <x:c r="K145" s="11" t="str">
        <x:v>AI知识质量</x:v>
      </x:c>
      <x:c r="L145" s="11" t="str">
        <x:v>避免把恶意文本作为系统指令</x:v>
      </x:c>
      <x:c r="M145" s="14" t="n">
        <x:v>1.5</x:v>
      </x:c>
      <x:c r="N145" s="16"/>
      <x:c r="O145" s="17" t="str">
        <x:v>未开始</x:v>
      </x:c>
      <x:c r="P145" s="17" t="str">
        <x:v>待验收</x:v>
      </x:c>
      <x:c r="Q145" s="17"/>
      <x:c r="R145" s="17"/>
      <x:c r="S145" s="11" t="str">
        <x:f>IF(AND(O145="已完成",P145="通过",LEN(Q145)&gt;0,LEN(R145)&gt;0),"可计入",IF(O145="已取消","已取消","待证据"))</x:f>
        <x:v>待证据</x:v>
      </x:c>
      <x:c r="T145" s="11"/>
      <x:c r="U145" s="11"/>
      <x:c r="V145" s="11"/>
      <x:c r="W145" s="11" t="str">
        <x:v>基础：向量检索原理、Embedding版本</x:v>
      </x:c>
    </x:row>
    <x:row r="146" ht="45" customHeight="1">
      <x:c r="A146" s="11" t="n">
        <x:v>21</x:v>
      </x:c>
      <x:c r="B146" s="11" t="str">
        <x:v>2027-03-26</x:v>
      </x:c>
      <x:c r="C146" s="11" t="str">
        <x:v>五</x:v>
      </x:c>
      <x:c r="D146" s="11" t="str">
        <x:v>SC-2105</x:v>
      </x:c>
      <x:c r="E146" s="11" t="str">
        <x:v>Phase-21 RAG知识库构建</x:v>
      </x:c>
      <x:c r="F146" s="11" t="str">
        <x:v>Must</x:v>
      </x:c>
      <x:c r="G146" s="11" t="str">
        <x:v>开发/验证</x:v>
      </x:c>
      <x:c r="H146" s="11" t="str">
        <x:v>RAG专题B：Embedding与可回滚版本化索引，失败重试后不重复入库</x:v>
      </x:c>
      <x:c r="I146" s="11" t="str">
        <x:v>KnowledgeIndexer + scripts/reindex.sh</x:v>
      </x:c>
      <x:c r="J146" s="11" t="str">
        <x:v>同版重新索引幂等；撤回文档可删/屏蔽旧向量</x:v>
      </x:c>
      <x:c r="K146" s="11" t="str">
        <x:v>AI知识质量</x:v>
      </x:c>
      <x:c r="L146" s="11" t="str">
        <x:v>需记录索引版本和Embedding模型</x:v>
      </x:c>
      <x:c r="M146" s="14" t="n">
        <x:v>1</x:v>
      </x:c>
      <x:c r="N146" s="16"/>
      <x:c r="O146" s="17" t="str">
        <x:v>未开始</x:v>
      </x:c>
      <x:c r="P146" s="17" t="str">
        <x:v>待验收</x:v>
      </x:c>
      <x:c r="Q146" s="17"/>
      <x:c r="R146" s="17"/>
      <x:c r="S146" s="11" t="str">
        <x:f>IF(AND(O146="已完成",P146="通过",LEN(Q146)&gt;0,LEN(R146)&gt;0),"可计入",IF(O146="已取消","已取消","待证据"))</x:f>
        <x:v>待证据</x:v>
      </x:c>
      <x:c r="T146" s="11"/>
      <x:c r="U146" s="11"/>
      <x:c r="V146" s="11"/>
      <x:c r="W146" s="11" t="str">
        <x:v>算法：哈希与二分</x:v>
      </x:c>
    </x:row>
    <x:row r="147" ht="45" customHeight="1">
      <x:c r="A147" s="11" t="n">
        <x:v>21</x:v>
      </x:c>
      <x:c r="B147" s="11" t="str">
        <x:v>2027-03-27</x:v>
      </x:c>
      <x:c r="C147" s="11" t="str">
        <x:v>六</x:v>
      </x:c>
      <x:c r="D147" s="11" t="str">
        <x:v>SC-2106</x:v>
      </x:c>
      <x:c r="E147" s="11" t="str">
        <x:v>Phase-21 RAG知识库构建</x:v>
      </x:c>
      <x:c r="F147" s="11" t="str">
        <x:v>Must</x:v>
      </x:c>
      <x:c r="G147" s="11" t="str">
        <x:v>开发/验证</x:v>
      </x:c>
      <x:c r="H147" s="11" t="str">
        <x:v>RAG专题C：返回Top-K、检索得分、来源和过滤条件，限当前有效公开知识</x:v>
      </x:c>
      <x:c r="I147" s="11" t="str">
        <x:v>KnowledgeSearchService + SearchRetrievalIT</x:v>
      </x:c>
      <x:c r="J147" s="11" t="str">
        <x:v>未审核或已撤回的知识绝不返回；TopK受限</x:v>
      </x:c>
      <x:c r="K147" s="11" t="str">
        <x:v>AI知识质量</x:v>
      </x:c>
      <x:c r="L147" s="11" t="str">
        <x:v>不把私人订单写入向量库</x:v>
      </x:c>
      <x:c r="M147" s="14" t="n">
        <x:v>2.5</x:v>
      </x:c>
      <x:c r="N147" s="16"/>
      <x:c r="O147" s="17" t="str">
        <x:v>未开始</x:v>
      </x:c>
      <x:c r="P147" s="17" t="str">
        <x:v>待验收</x:v>
      </x:c>
      <x:c r="Q147" s="17"/>
      <x:c r="R147" s="17"/>
      <x:c r="S147" s="11" t="str">
        <x:f>IF(AND(O147="已完成",P147="通过",LEN(Q147)&gt;0,LEN(R147)&gt;0),"可计入",IF(O147="已取消","已取消","待证据"))</x:f>
        <x:v>待证据</x:v>
      </x:c>
      <x:c r="T147" s="11"/>
      <x:c r="U147" s="11"/>
      <x:c r="V147" s="11"/>
      <x:c r="W147" s="11" t="str">
        <x:v>求职/返工缓冲或补测试</x:v>
      </x:c>
    </x:row>
    <x:row r="148" ht="45" customHeight="1">
      <x:c r="A148" s="11" t="n">
        <x:v>21</x:v>
      </x:c>
      <x:c r="B148" s="11" t="str">
        <x:v>2027-03-28</x:v>
      </x:c>
      <x:c r="C148" s="11" t="str">
        <x:v>日</x:v>
      </x:c>
      <x:c r="D148" s="11" t="str">
        <x:v>SC-2107</x:v>
      </x:c>
      <x:c r="E148" s="11" t="str">
        <x:v>Phase-21 RAG知识库构建</x:v>
      </x:c>
      <x:c r="F148" s="11" t="str">
        <x:v>Must</x:v>
      </x:c>
      <x:c r="G148" s="11" t="str">
        <x:v>缓冲/回归</x:v>
      </x:c>
      <x:c r="H148" s="11" t="str">
        <x:v>RAG专题D：构建至少15条检索问答golden set并计算Recall@K与候选覆盖率</x:v>
      </x:c>
      <x:c r="I148" s="11" t="str">
        <x:v>eval/retrieval-golden.jsonl + eval/retrieval-baseline.csv</x:v>
      </x:c>
      <x:c r="J148" s="11" t="str">
        <x:v>至少有真实命中文档ID与人工标注正确性</x:v>
      </x:c>
      <x:c r="K148" s="11" t="str">
        <x:v>AI知识质量</x:v>
      </x:c>
      <x:c r="L148" s="11" t="str">
        <x:v>不以主观“看上去不错”代替指标</x:v>
      </x:c>
      <x:c r="M148" s="14" t="n">
        <x:v>0.5</x:v>
      </x:c>
      <x:c r="N148" s="16"/>
      <x:c r="O148" s="17" t="str">
        <x:v>未开始</x:v>
      </x:c>
      <x:c r="P148" s="17" t="str">
        <x:v>待验收</x:v>
      </x:c>
      <x:c r="Q148" s="17"/>
      <x:c r="R148" s="17"/>
      <x:c r="S148" s="11" t="str">
        <x:f>IF(AND(O148="已完成",P148="通过",LEN(Q148)&gt;0,LEN(R148)&gt;0),"可计入",IF(O148="已取消","已取消","待证据"))</x:f>
        <x:v>待证据</x:v>
      </x:c>
      <x:c r="T148" s="11"/>
      <x:c r="U148" s="11"/>
      <x:c r="V148" s="11"/>
      <x:c r="W148" s="11" t="str">
        <x:v>周复盘+证据归档</x:v>
      </x:c>
    </x:row>
    <x:row r="149" ht="45" customHeight="1">
      <x:c r="A149" s="11" t="n">
        <x:v>22</x:v>
      </x:c>
      <x:c r="B149" s="11" t="str">
        <x:v>2027-03-29</x:v>
      </x:c>
      <x:c r="C149" s="11" t="str">
        <x:v>一</x:v>
      </x:c>
      <x:c r="D149" s="11" t="str">
        <x:v>SC-2201</x:v>
      </x:c>
      <x:c r="E149" s="11" t="str">
        <x:v>Phase-22 RAG质量评测</x:v>
      </x:c>
      <x:c r="F149" s="11" t="str">
        <x:v>Must</x:v>
      </x:c>
      <x:c r="G149" s="11" t="str">
        <x:v>设计/合同</x:v>
      </x:c>
      <x:c r="H149" s="11" t="str">
        <x:v>实现引用可追踪的RAG答案生成，缺乏证据拒答，回答正文与引用分离</x:v>
      </x:c>
      <x:c r="I149" s="11" t="str">
        <x:v>ai/retrieval/RagAnswerService</x:v>
      </x:c>
      <x:c r="J149" s="11" t="str">
        <x:v>每条引用能够映射到当前有效的chunk/doc/version</x:v>
      </x:c>
      <x:c r="K149" s="11" t="str">
        <x:v>AI知识质量</x:v>
      </x:c>
      <x:c r="L149" s="11" t="str">
        <x:v>LLM不能自己伪造不存在的sourceId</x:v>
      </x:c>
      <x:c r="M149" s="14" t="n">
        <x:v>1.5</x:v>
      </x:c>
      <x:c r="N149" s="16"/>
      <x:c r="O149" s="17" t="str">
        <x:v>未开始</x:v>
      </x:c>
      <x:c r="P149" s="17" t="str">
        <x:v>待验收</x:v>
      </x:c>
      <x:c r="Q149" s="17"/>
      <x:c r="R149" s="17"/>
      <x:c r="S149" s="11" t="str">
        <x:f>IF(AND(O149="已完成",P149="通过",LEN(Q149)&gt;0,LEN(R149)&gt;0),"可计入",IF(O149="已取消","已取消","待证据"))</x:f>
        <x:v>待证据</x:v>
      </x:c>
      <x:c r="T149" s="11"/>
      <x:c r="U149" s="11"/>
      <x:c r="V149" s="11"/>
      <x:c r="W149" s="11" t="str">
        <x:v>算法：排序/TopK</x:v>
      </x:c>
    </x:row>
    <x:row r="150" ht="45" customHeight="1">
      <x:c r="A150" s="11" t="n">
        <x:v>22</x:v>
      </x:c>
      <x:c r="B150" s="11" t="str">
        <x:v>2027-03-30</x:v>
      </x:c>
      <x:c r="C150" s="11" t="str">
        <x:v>二</x:v>
      </x:c>
      <x:c r="D150" s="11" t="str">
        <x:v>SC-2202</x:v>
      </x:c>
      <x:c r="E150" s="11" t="str">
        <x:v>Phase-22 RAG质量评测</x:v>
      </x:c>
      <x:c r="F150" s="11" t="str">
        <x:v>Must</x:v>
      </x:c>
      <x:c r="G150" s="11" t="str">
        <x:v>设计/合同</x:v>
      </x:c>
      <x:c r="H150" s="11" t="str">
        <x:v>设计API回答格式answer、citations、confidenceHint、fallback</x:v>
      </x:c>
      <x:c r="I150" s="11" t="str">
        <x:v>AiAnswerResponse</x:v>
      </x:c>
      <x:c r="J150" s="11" t="str">
        <x:v>前端可展示引用来源；提示非真实概率</x:v>
      </x:c>
      <x:c r="K150" s="11" t="str">
        <x:v>AI知识质量</x:v>
      </x:c>
      <x:c r="L150" s="11" t="str">
        <x:v>核心路径先独立设计与实现；AI仅提示/审查，提交前能口述原理。</x:v>
      </x:c>
      <x:c r="M150" s="14" t="n">
        <x:v>1.5</x:v>
      </x:c>
      <x:c r="N150" s="16"/>
      <x:c r="O150" s="17" t="str">
        <x:v>未开始</x:v>
      </x:c>
      <x:c r="P150" s="17" t="str">
        <x:v>待验收</x:v>
      </x:c>
      <x:c r="Q150" s="17"/>
      <x:c r="R150" s="17"/>
      <x:c r="S150" s="11" t="str">
        <x:f>IF(AND(O150="已完成",P150="通过",LEN(Q150)&gt;0,LEN(R150)&gt;0),"可计入",IF(O150="已取消","已取消","待证据"))</x:f>
        <x:v>待证据</x:v>
      </x:c>
      <x:c r="T150" s="11"/>
      <x:c r="U150" s="11"/>
      <x:c r="V150" s="11"/>
      <x:c r="W150" s="11" t="str">
        <x:v>基础：统计指标分母/采样/实验设计</x:v>
      </x:c>
    </x:row>
    <x:row r="151" ht="45" customHeight="1">
      <x:c r="A151" s="11" t="n">
        <x:v>22</x:v>
      </x:c>
      <x:c r="B151" s="11" t="str">
        <x:v>2027-03-31</x:v>
      </x:c>
      <x:c r="C151" s="11" t="str">
        <x:v>三</x:v>
      </x:c>
      <x:c r="D151" s="11" t="str">
        <x:v>SC-2203</x:v>
      </x:c>
      <x:c r="E151" s="11" t="str">
        <x:v>Phase-22 RAG质量评测</x:v>
      </x:c>
      <x:c r="F151" s="11" t="str">
        <x:v>Must</x:v>
      </x:c>
      <x:c r="G151" s="11" t="str">
        <x:v>开发/验证</x:v>
      </x:c>
      <x:c r="H151" s="11" t="str">
        <x:v>准备40条普通问答+20条安全攻击的eval集，并按FAQ/无答案/旧政策/歧义分层</x:v>
      </x:c>
      <x:c r="I151" s="11" t="str">
        <x:v>eval/qa-golden.jsonl + eval/attacks.jsonl</x:v>
      </x:c>
      <x:c r="J151" s="11" t="str">
        <x:v>样本带expectedSource、expectedBehavior、类别与版本</x:v>
      </x:c>
      <x:c r="K151" s="11" t="str">
        <x:v>AI知识质量</x:v>
      </x:c>
      <x:c r="L151" s="11" t="str">
        <x:v>评测集与调参用例分离，避免只在训练样本上好看</x:v>
      </x:c>
      <x:c r="M151" s="14" t="n">
        <x:v>1.5</x:v>
      </x:c>
      <x:c r="N151" s="16"/>
      <x:c r="O151" s="17" t="str">
        <x:v>未开始</x:v>
      </x:c>
      <x:c r="P151" s="17" t="str">
        <x:v>待验收</x:v>
      </x:c>
      <x:c r="Q151" s="17"/>
      <x:c r="R151" s="17"/>
      <x:c r="S151" s="11" t="str">
        <x:f>IF(AND(O151="已完成",P151="通过",LEN(Q151)&gt;0,LEN(R151)&gt;0),"可计入",IF(O151="已取消","已取消","待证据"))</x:f>
        <x:v>待证据</x:v>
      </x:c>
      <x:c r="T151" s="11"/>
      <x:c r="U151" s="11"/>
      <x:c r="V151" s="11"/>
      <x:c r="W151" s="11" t="str">
        <x:v>算法：排序/TopK</x:v>
      </x:c>
    </x:row>
    <x:row r="152" ht="45" customHeight="1">
      <x:c r="A152" s="11" t="n">
        <x:v>22</x:v>
      </x:c>
      <x:c r="B152" s="11" t="str">
        <x:v>2027-04-01</x:v>
      </x:c>
      <x:c r="C152" s="11" t="str">
        <x:v>四</x:v>
      </x:c>
      <x:c r="D152" s="11" t="str">
        <x:v>SC-2204</x:v>
      </x:c>
      <x:c r="E152" s="11" t="str">
        <x:v>Phase-22 RAG质量评测</x:v>
      </x:c>
      <x:c r="F152" s="11" t="str">
        <x:v>Must</x:v>
      </x:c>
      <x:c r="G152" s="11" t="str">
        <x:v>开发/验证</x:v>
      </x:c>
      <x:c r="H152" s="11" t="str">
        <x:v>写RAG质量评测：Recall@K、引用有效率、正确拒答率、回答正确率、p95与每问成本</x:v>
      </x:c>
      <x:c r="I152" s="11" t="str">
        <x:v>scripts/eval-rag.py + eval/metrics.csv</x:v>
      </x:c>
      <x:c r="J152" s="11" t="str">
        <x:v>每项指标的计算方式/样本量/阈值及失败案例可复现</x:v>
      </x:c>
      <x:c r="K152" s="11" t="str">
        <x:v>AI知识质量</x:v>
      </x:c>
      <x:c r="L152" s="11" t="str">
        <x:v>未实测就留空，不编造数据</x:v>
      </x:c>
      <x:c r="M152" s="14" t="n">
        <x:v>1.5</x:v>
      </x:c>
      <x:c r="N152" s="16"/>
      <x:c r="O152" s="17" t="str">
        <x:v>未开始</x:v>
      </x:c>
      <x:c r="P152" s="17" t="str">
        <x:v>待验收</x:v>
      </x:c>
      <x:c r="Q152" s="17"/>
      <x:c r="R152" s="17"/>
      <x:c r="S152" s="11" t="str">
        <x:f>IF(AND(O152="已完成",P152="通过",LEN(Q152)&gt;0,LEN(R152)&gt;0),"可计入",IF(O152="已取消","已取消","待证据"))</x:f>
        <x:v>待证据</x:v>
      </x:c>
      <x:c r="T152" s="11"/>
      <x:c r="U152" s="11"/>
      <x:c r="V152" s="11"/>
      <x:c r="W152" s="11" t="str">
        <x:v>基础：统计指标分母/采样/实验设计</x:v>
      </x:c>
    </x:row>
    <x:row r="153" ht="45" customHeight="1">
      <x:c r="A153" s="11" t="n">
        <x:v>22</x:v>
      </x:c>
      <x:c r="B153" s="11" t="str">
        <x:v>2027-04-02</x:v>
      </x:c>
      <x:c r="C153" s="11" t="str">
        <x:v>五</x:v>
      </x:c>
      <x:c r="D153" s="11" t="str">
        <x:v>SC-2205</x:v>
      </x:c>
      <x:c r="E153" s="11" t="str">
        <x:v>Phase-22 RAG质量评测</x:v>
      </x:c>
      <x:c r="F153" s="11" t="str">
        <x:v>Must</x:v>
      </x:c>
      <x:c r="G153" s="11" t="str">
        <x:v>开发/验证</x:v>
      </x:c>
      <x:c r="H153" s="11" t="str">
        <x:v>运行三组对照：LLM直答 vs RAG、chunk大小、Top-K；保存基准模型和参数</x:v>
      </x:c>
      <x:c r="I153" s="11" t="str">
        <x:v>docs/ai/rag-experiments.md + eval/results.csv</x:v>
      </x:c>
      <x:c r="J153" s="11" t="str">
        <x:v>有明确数据/对照表/选择理由，不只贴截图</x:v>
      </x:c>
      <x:c r="K153" s="11" t="str">
        <x:v>AI知识质量</x:v>
      </x:c>
      <x:c r="L153" s="11" t="str">
        <x:v>控制变量，防止同时修改模型和chunk大小</x:v>
      </x:c>
      <x:c r="M153" s="14" t="n">
        <x:v>1</x:v>
      </x:c>
      <x:c r="N153" s="16"/>
      <x:c r="O153" s="17" t="str">
        <x:v>未开始</x:v>
      </x:c>
      <x:c r="P153" s="17" t="str">
        <x:v>待验收</x:v>
      </x:c>
      <x:c r="Q153" s="17"/>
      <x:c r="R153" s="17"/>
      <x:c r="S153" s="11" t="str">
        <x:f>IF(AND(O153="已完成",P153="通过",LEN(Q153)&gt;0,LEN(R153)&gt;0),"可计入",IF(O153="已取消","已取消","待证据"))</x:f>
        <x:v>待证据</x:v>
      </x:c>
      <x:c r="T153" s="11"/>
      <x:c r="U153" s="11"/>
      <x:c r="V153" s="11"/>
      <x:c r="W153" s="11" t="str">
        <x:v>算法：排序/TopK</x:v>
      </x:c>
    </x:row>
    <x:row r="154" ht="45" customHeight="1">
      <x:c r="A154" s="11" t="n">
        <x:v>22</x:v>
      </x:c>
      <x:c r="B154" s="11" t="str">
        <x:v>2027-04-03</x:v>
      </x:c>
      <x:c r="C154" s="11" t="str">
        <x:v>六</x:v>
      </x:c>
      <x:c r="D154" s="11" t="str">
        <x:v>SC-2206</x:v>
      </x:c>
      <x:c r="E154" s="11" t="str">
        <x:v>Phase-22 RAG质量评测</x:v>
      </x:c>
      <x:c r="F154" s="11" t="str">
        <x:v>Must</x:v>
      </x:c>
      <x:c r="G154" s="11" t="str">
        <x:v>开发/验证</x:v>
      </x:c>
      <x:c r="H154" s="11" t="str">
        <x:v>演练政策撤回/更新：重新索引并验证旧文档不能被引用</x:v>
      </x:c>
      <x:c r="I154" s="11" t="str">
        <x:v>KnowledgeIndexRebuildIT</x:v>
      </x:c>
      <x:c r="J154" s="11" t="str">
        <x:v>旧文档从可见检索结果消失，更新失败有回滚/补偿方案</x:v>
      </x:c>
      <x:c r="K154" s="11" t="str">
        <x:v>AI知识质量</x:v>
      </x:c>
      <x:c r="L154" s="11" t="str">
        <x:v>审核状态与生效时间服务端过滤</x:v>
      </x:c>
      <x:c r="M154" s="14" t="n">
        <x:v>2.5</x:v>
      </x:c>
      <x:c r="N154" s="16"/>
      <x:c r="O154" s="17" t="str">
        <x:v>未开始</x:v>
      </x:c>
      <x:c r="P154" s="17" t="str">
        <x:v>待验收</x:v>
      </x:c>
      <x:c r="Q154" s="17"/>
      <x:c r="R154" s="17"/>
      <x:c r="S154" s="11" t="str">
        <x:f>IF(AND(O154="已完成",P154="通过",LEN(Q154)&gt;0,LEN(R154)&gt;0),"可计入",IF(O154="已取消","已取消","待证据"))</x:f>
        <x:v>待证据</x:v>
      </x:c>
      <x:c r="T154" s="11"/>
      <x:c r="U154" s="11"/>
      <x:c r="V154" s="11"/>
      <x:c r="W154" s="11" t="str">
        <x:v>求职/返工缓冲或补测试</x:v>
      </x:c>
    </x:row>
    <x:row r="155" ht="45" customHeight="1">
      <x:c r="A155" s="11" t="n">
        <x:v>22</x:v>
      </x:c>
      <x:c r="B155" s="11" t="str">
        <x:v>2027-04-04</x:v>
      </x:c>
      <x:c r="C155" s="11" t="str">
        <x:v>日</x:v>
      </x:c>
      <x:c r="D155" s="11" t="str">
        <x:v>SC-2207</x:v>
      </x:c>
      <x:c r="E155" s="11" t="str">
        <x:v>Phase-22 RAG质量评测</x:v>
      </x:c>
      <x:c r="F155" s="11" t="str">
        <x:v>Must</x:v>
      </x:c>
      <x:c r="G155" s="11" t="str">
        <x:v>缓冲/回归</x:v>
      </x:c>
      <x:c r="H155" s="11" t="str">
        <x:v>周缓冲：冻结RAG v0.1的指标和已知失败，修复评测回归</x:v>
      </x:c>
      <x:c r="I155" s="11" t="str">
        <x:v>docs/ai/eval-report-v1.md</x:v>
      </x:c>
      <x:c r="J155" s="11" t="str">
        <x:v>无依据的问题能明确不知道/转人工</x:v>
      </x:c>
      <x:c r="K155" s="11" t="str">
        <x:v>AI知识质量</x:v>
      </x:c>
      <x:c r="L155" s="11" t="str">
        <x:v>核心路径先独立设计与实现；AI仅提示/审查，提交前能口述原理。</x:v>
      </x:c>
      <x:c r="M155" s="14" t="n">
        <x:v>0.5</x:v>
      </x:c>
      <x:c r="N155" s="16"/>
      <x:c r="O155" s="17" t="str">
        <x:v>未开始</x:v>
      </x:c>
      <x:c r="P155" s="17" t="str">
        <x:v>待验收</x:v>
      </x:c>
      <x:c r="Q155" s="17"/>
      <x:c r="R155" s="17"/>
      <x:c r="S155" s="11" t="str">
        <x:f>IF(AND(O155="已完成",P155="通过",LEN(Q155)&gt;0,LEN(R155)&gt;0),"可计入",IF(O155="已取消","已取消","待证据"))</x:f>
        <x:v>待证据</x:v>
      </x:c>
      <x:c r="T155" s="11"/>
      <x:c r="U155" s="11"/>
      <x:c r="V155" s="11"/>
      <x:c r="W155" s="11" t="str">
        <x:v>周复盘+证据归档</x:v>
      </x:c>
    </x:row>
    <x:row r="156" ht="45" customHeight="1">
      <x:c r="A156" s="11" t="n">
        <x:v>23</x:v>
      </x:c>
      <x:c r="B156" s="11" t="str">
        <x:v>2027-04-05</x:v>
      </x:c>
      <x:c r="C156" s="11" t="str">
        <x:v>一</x:v>
      </x:c>
      <x:c r="D156" s="11" t="str">
        <x:v>SC-2301</x:v>
      </x:c>
      <x:c r="E156" s="11" t="str">
        <x:v>Phase-23 Tool Calling</x:v>
      </x:c>
      <x:c r="F156" s="11" t="str">
        <x:v>Must</x:v>
      </x:c>
      <x:c r="G156" s="11" t="str">
        <x:v>设计/合同</x:v>
      </x:c>
      <x:c r="H156" s="11" t="str">
        <x:v>Tool专题A：定义getMyOrderStatus(orderId)最小schema与权限边界，不允许LLM填userId</x:v>
      </x:c>
      <x:c r="I156" s="11" t="str">
        <x:v>docs/ai/tools/order-status.md</x:v>
      </x:c>
      <x:c r="J156" s="11" t="str">
        <x:v>schema只有orderId；服务端注入认证主体</x:v>
      </x:c>
      <x:c r="K156" s="11" t="str">
        <x:v>AI工具/权限</x:v>
      </x:c>
      <x:c r="L156" s="11" t="str">
        <x:v>不能让大模型生成SQL或越权查询</x:v>
      </x:c>
      <x:c r="M156" s="14" t="n">
        <x:v>1.5</x:v>
      </x:c>
      <x:c r="N156" s="16"/>
      <x:c r="O156" s="17" t="str">
        <x:v>未开始</x:v>
      </x:c>
      <x:c r="P156" s="17" t="str">
        <x:v>待验收</x:v>
      </x:c>
      <x:c r="Q156" s="17"/>
      <x:c r="R156" s="17"/>
      <x:c r="S156" s="11" t="str">
        <x:f>IF(AND(O156="已完成",P156="通过",LEN(Q156)&gt;0,LEN(R156)&gt;0),"可计入",IF(O156="已取消","已取消","待证据"))</x:f>
        <x:v>待证据</x:v>
      </x:c>
      <x:c r="T156" s="11"/>
      <x:c r="U156" s="11"/>
      <x:c r="V156" s="11"/>
      <x:c r="W156" s="11" t="str">
        <x:v>算法：树与递归</x:v>
      </x:c>
    </x:row>
    <x:row r="157" ht="45" customHeight="1">
      <x:c r="A157" s="11" t="n">
        <x:v>23</x:v>
      </x:c>
      <x:c r="B157" s="11" t="str">
        <x:v>2027-04-06</x:v>
      </x:c>
      <x:c r="C157" s="11" t="str">
        <x:v>二</x:v>
      </x:c>
      <x:c r="D157" s="11" t="str">
        <x:v>SC-2302</x:v>
      </x:c>
      <x:c r="E157" s="11" t="str">
        <x:v>Phase-23 Tool Calling</x:v>
      </x:c>
      <x:c r="F157" s="11" t="str">
        <x:v>Must</x:v>
      </x:c>
      <x:c r="G157" s="11" t="str">
        <x:v>开发/验证</x:v>
      </x:c>
      <x:c r="H157" s="11" t="str">
        <x:v>Tool专题B：实现订单查询Facade及本人/客服授权策略，默认拒绝非本人</x:v>
      </x:c>
      <x:c r="I157" s="11" t="str">
        <x:v>OrderQueryFacade + OwnedOrderIT</x:v>
      </x:c>
      <x:c r="J157" s="11" t="str">
        <x:v>用户A拿用户B订单ID拒绝且不泄露存在性</x:v>
      </x:c>
      <x:c r="K157" s="11" t="str">
        <x:v>AI工具/权限</x:v>
      </x:c>
      <x:c r="L157" s="11" t="str">
        <x:v>权限在业务层执行，而不靠prompt约束</x:v>
      </x:c>
      <x:c r="M157" s="14" t="n">
        <x:v>1.5</x:v>
      </x:c>
      <x:c r="N157" s="16"/>
      <x:c r="O157" s="17" t="str">
        <x:v>未开始</x:v>
      </x:c>
      <x:c r="P157" s="17" t="str">
        <x:v>待验收</x:v>
      </x:c>
      <x:c r="Q157" s="17"/>
      <x:c r="R157" s="17"/>
      <x:c r="S157" s="11" t="str">
        <x:f>IF(AND(O157="已完成",P157="通过",LEN(Q157)&gt;0,LEN(R157)&gt;0),"可计入",IF(O157="已取消","已取消","待证据"))</x:f>
        <x:v>待证据</x:v>
      </x:c>
      <x:c r="T157" s="11"/>
      <x:c r="U157" s="11"/>
      <x:c r="V157" s="11"/>
      <x:c r="W157" s="11" t="str">
        <x:v>基础：Java反射/工具调用与信任边界</x:v>
      </x:c>
    </x:row>
    <x:row r="158" ht="45" customHeight="1">
      <x:c r="A158" s="11" t="n">
        <x:v>23</x:v>
      </x:c>
      <x:c r="B158" s="11" t="str">
        <x:v>2027-04-07</x:v>
      </x:c>
      <x:c r="C158" s="11" t="str">
        <x:v>三</x:v>
      </x:c>
      <x:c r="D158" s="11" t="str">
        <x:v>SC-2303</x:v>
      </x:c>
      <x:c r="E158" s="11" t="str">
        <x:v>Phase-23 Tool Calling</x:v>
      </x:c>
      <x:c r="F158" s="11" t="str">
        <x:v>Must</x:v>
      </x:c>
      <x:c r="G158" s="11" t="str">
        <x:v>开发/验证</x:v>
      </x:c>
      <x:c r="H158" s="11" t="str">
        <x:v>Tool专题C：适配Spring AI Tool Calling，模型只提供orderId，用户ID来自可信SecurityContext</x:v>
      </x:c>
      <x:c r="I158" s="11" t="str">
        <x:v>GetMyOrderStatusTool + ToolContractIT</x:v>
      </x:c>
      <x:c r="J158" s="11" t="str">
        <x:v>合法查单成功、跨用户失败、未登录失败</x:v>
      </x:c>
      <x:c r="K158" s="11" t="str">
        <x:v>AI工具/权限</x:v>
      </x:c>
      <x:c r="L158" s="11" t="str">
        <x:v>连接真实Provider前先用FakeProvider测试</x:v>
      </x:c>
      <x:c r="M158" s="14" t="n">
        <x:v>1.5</x:v>
      </x:c>
      <x:c r="N158" s="16"/>
      <x:c r="O158" s="17" t="str">
        <x:v>未开始</x:v>
      </x:c>
      <x:c r="P158" s="17" t="str">
        <x:v>待验收</x:v>
      </x:c>
      <x:c r="Q158" s="17"/>
      <x:c r="R158" s="17"/>
      <x:c r="S158" s="11" t="str">
        <x:f>IF(AND(O158="已完成",P158="通过",LEN(Q158)&gt;0,LEN(R158)&gt;0),"可计入",IF(O158="已取消","已取消","待证据"))</x:f>
        <x:v>待证据</x:v>
      </x:c>
      <x:c r="T158" s="11"/>
      <x:c r="U158" s="11"/>
      <x:c r="V158" s="11"/>
      <x:c r="W158" s="11" t="str">
        <x:v>算法：树与递归</x:v>
      </x:c>
    </x:row>
    <x:row r="159" ht="45" customHeight="1">
      <x:c r="A159" s="11" t="n">
        <x:v>23</x:v>
      </x:c>
      <x:c r="B159" s="11" t="str">
        <x:v>2027-04-08</x:v>
      </x:c>
      <x:c r="C159" s="11" t="str">
        <x:v>四</x:v>
      </x:c>
      <x:c r="D159" s="11" t="str">
        <x:v>SC-2304</x:v>
      </x:c>
      <x:c r="E159" s="11" t="str">
        <x:v>Phase-23 Tool Calling</x:v>
      </x:c>
      <x:c r="F159" s="11" t="str">
        <x:v>Must</x:v>
      </x:c>
      <x:c r="G159" s="11" t="str">
        <x:v>开发/验证</x:v>
      </x:c>
      <x:c r="H159" s="11" t="str">
        <x:v>Tool专题D：输出字段白名单与日志脱敏，仅返回订单状态及必要非隐私时间</x:v>
      </x:c>
      <x:c r="I159" s="11" t="str">
        <x:v>OrderToolResponse + docs/security/tool-output.md</x:v>
      </x:c>
      <x:c r="J159" s="11" t="str">
        <x:v>工具输出不含收货地址/手机号/支付凭据</x:v>
      </x:c>
      <x:c r="K159" s="11" t="str">
        <x:v>AI工具/权限</x:v>
      </x:c>
      <x:c r="L159" s="11" t="str">
        <x:v>最小权限与最小数据原则</x:v>
      </x:c>
      <x:c r="M159" s="14" t="n">
        <x:v>1.5</x:v>
      </x:c>
      <x:c r="N159" s="16"/>
      <x:c r="O159" s="17" t="str">
        <x:v>未开始</x:v>
      </x:c>
      <x:c r="P159" s="17" t="str">
        <x:v>待验收</x:v>
      </x:c>
      <x:c r="Q159" s="17"/>
      <x:c r="R159" s="17"/>
      <x:c r="S159" s="11" t="str">
        <x:f>IF(AND(O159="已完成",P159="通过",LEN(Q159)&gt;0,LEN(R159)&gt;0),"可计入",IF(O159="已取消","已取消","待证据"))</x:f>
        <x:v>待证据</x:v>
      </x:c>
      <x:c r="T159" s="11"/>
      <x:c r="U159" s="11"/>
      <x:c r="V159" s="11"/>
      <x:c r="W159" s="11" t="str">
        <x:v>基础：Java反射/工具调用与信任边界</x:v>
      </x:c>
    </x:row>
    <x:row r="160" ht="45" customHeight="1">
      <x:c r="A160" s="11" t="n">
        <x:v>23</x:v>
      </x:c>
      <x:c r="B160" s="11" t="str">
        <x:v>2027-04-09</x:v>
      </x:c>
      <x:c r="C160" s="11" t="str">
        <x:v>五</x:v>
      </x:c>
      <x:c r="D160" s="11" t="str">
        <x:v>SC-2305</x:v>
      </x:c>
      <x:c r="E160" s="11" t="str">
        <x:v>Phase-23 Tool Calling</x:v>
      </x:c>
      <x:c r="F160" s="11" t="str">
        <x:v>Must</x:v>
      </x:c>
      <x:c r="G160" s="11" t="str">
        <x:v>开发/验证</x:v>
      </x:c>
      <x:c r="H160" s="11" t="str">
        <x:v>Tool专题E：每请求最多若干次Tool调用、总预算和超时，强制错误回退</x:v>
      </x:c>
      <x:c r="I160" s="11" t="str">
        <x:v>ToolInvocationBudgetTest</x:v>
      </x:c>
      <x:c r="J160" s="11" t="str">
        <x:v>连续恶意循环被截断，普通订单业务仍可用</x:v>
      </x:c>
      <x:c r="K160" s="11" t="str">
        <x:v>AI工具/权限</x:v>
      </x:c>
      <x:c r="L160" s="11" t="str">
        <x:v>工具调用计数在服务端而不是模型</x:v>
      </x:c>
      <x:c r="M160" s="14" t="n">
        <x:v>1</x:v>
      </x:c>
      <x:c r="N160" s="16"/>
      <x:c r="O160" s="17" t="str">
        <x:v>未开始</x:v>
      </x:c>
      <x:c r="P160" s="17" t="str">
        <x:v>待验收</x:v>
      </x:c>
      <x:c r="Q160" s="17"/>
      <x:c r="R160" s="17"/>
      <x:c r="S160" s="11" t="str">
        <x:f>IF(AND(O160="已完成",P160="通过",LEN(Q160)&gt;0,LEN(R160)&gt;0),"可计入",IF(O160="已取消","已取消","待证据"))</x:f>
        <x:v>待证据</x:v>
      </x:c>
      <x:c r="T160" s="11"/>
      <x:c r="U160" s="11"/>
      <x:c r="V160" s="11"/>
      <x:c r="W160" s="11" t="str">
        <x:v>算法：树与递归</x:v>
      </x:c>
    </x:row>
    <x:row r="161" ht="45" customHeight="1">
      <x:c r="A161" s="11" t="n">
        <x:v>23</x:v>
      </x:c>
      <x:c r="B161" s="11" t="str">
        <x:v>2027-04-10</x:v>
      </x:c>
      <x:c r="C161" s="11" t="str">
        <x:v>六</x:v>
      </x:c>
      <x:c r="D161" s="11" t="str">
        <x:v>SC-2306</x:v>
      </x:c>
      <x:c r="E161" s="11" t="str">
        <x:v>Phase-23 Tool Calling</x:v>
      </x:c>
      <x:c r="F161" s="11" t="str">
        <x:v>Must</x:v>
      </x:c>
      <x:c r="G161" s="11" t="str">
        <x:v>开发/验证</x:v>
      </x:c>
      <x:c r="H161" s="11" t="str">
        <x:v>Tool专题F：攻击测试，包括越权订单ID、系统提示泄露、恶意工具参数与用户伪造角色</x:v>
      </x:c>
      <x:c r="I161" s="11" t="str">
        <x:v>eval/tool-authorization.jsonl + ToolSecurityIT</x:v>
      </x:c>
      <x:c r="J161" s="11" t="str">
        <x:v>越权与未授权用例100%通过，不泄露个人信息</x:v>
      </x:c>
      <x:c r="K161" s="11" t="str">
        <x:v>AI工具/权限</x:v>
      </x:c>
      <x:c r="L161" s="11" t="str">
        <x:v>失败则功能停留实验状态</x:v>
      </x:c>
      <x:c r="M161" s="14" t="n">
        <x:v>2.5</x:v>
      </x:c>
      <x:c r="N161" s="16"/>
      <x:c r="O161" s="17" t="str">
        <x:v>未开始</x:v>
      </x:c>
      <x:c r="P161" s="17" t="str">
        <x:v>待验收</x:v>
      </x:c>
      <x:c r="Q161" s="17"/>
      <x:c r="R161" s="17"/>
      <x:c r="S161" s="11" t="str">
        <x:f>IF(AND(O161="已完成",P161="通过",LEN(Q161)&gt;0,LEN(R161)&gt;0),"可计入",IF(O161="已取消","已取消","待证据"))</x:f>
        <x:v>待证据</x:v>
      </x:c>
      <x:c r="T161" s="11"/>
      <x:c r="U161" s="11"/>
      <x:c r="V161" s="11"/>
      <x:c r="W161" s="11" t="str">
        <x:v>求职/返工缓冲或补测试</x:v>
      </x:c>
    </x:row>
    <x:row r="162" ht="45" customHeight="1">
      <x:c r="A162" s="11" t="n">
        <x:v>23</x:v>
      </x:c>
      <x:c r="B162" s="11" t="str">
        <x:v>2027-04-11</x:v>
      </x:c>
      <x:c r="C162" s="11" t="str">
        <x:v>日</x:v>
      </x:c>
      <x:c r="D162" s="11" t="str">
        <x:v>SC-2307</x:v>
      </x:c>
      <x:c r="E162" s="11" t="str">
        <x:v>Phase-23 Tool Calling</x:v>
      </x:c>
      <x:c r="F162" s="11" t="str">
        <x:v>Must</x:v>
      </x:c>
      <x:c r="G162" s="11" t="str">
        <x:v>缓冲/回归</x:v>
      </x:c>
      <x:c r="H162" s="11" t="str">
        <x:v>周缓冲：完善Tool独立测试并总结正常查单/错误拒答/耗时对照</x:v>
      </x:c>
      <x:c r="I162" s="11" t="str">
        <x:v>docs/reviews/week23.md + docs/ai/tool-eval.md</x:v>
      </x:c>
      <x:c r="J162" s="11" t="str">
        <x:v>没有失败自动测试才允许展示给其他人</x:v>
      </x:c>
      <x:c r="K162" s="11" t="str">
        <x:v>AI工具/权限</x:v>
      </x:c>
      <x:c r="L162" s="11" t="str">
        <x:v>保留本地测试证据</x:v>
      </x:c>
      <x:c r="M162" s="14" t="n">
        <x:v>0.5</x:v>
      </x:c>
      <x:c r="N162" s="16"/>
      <x:c r="O162" s="17" t="str">
        <x:v>未开始</x:v>
      </x:c>
      <x:c r="P162" s="17" t="str">
        <x:v>待验收</x:v>
      </x:c>
      <x:c r="Q162" s="17"/>
      <x:c r="R162" s="17"/>
      <x:c r="S162" s="11" t="str">
        <x:f>IF(AND(O162="已完成",P162="通过",LEN(Q162)&gt;0,LEN(R162)&gt;0),"可计入",IF(O162="已取消","已取消","待证据"))</x:f>
        <x:v>待证据</x:v>
      </x:c>
      <x:c r="T162" s="11"/>
      <x:c r="U162" s="11"/>
      <x:c r="V162" s="11"/>
      <x:c r="W162" s="11" t="str">
        <x:v>周复盘+证据归档</x:v>
      </x:c>
    </x:row>
    <x:row r="163" ht="45" customHeight="1">
      <x:c r="A163" s="11" t="n">
        <x:v>24</x:v>
      </x:c>
      <x:c r="B163" s="11" t="str">
        <x:v>2027-04-12</x:v>
      </x:c>
      <x:c r="C163" s="11" t="str">
        <x:v>一</x:v>
      </x:c>
      <x:c r="D163" s="11" t="str">
        <x:v>SC-2401</x:v>
      </x:c>
      <x:c r="E163" s="11" t="str">
        <x:v>Phase-24 AI安全</x:v>
      </x:c>
      <x:c r="F163" s="11" t="str">
        <x:v>Must</x:v>
      </x:c>
      <x:c r="G163" s="11" t="str">
        <x:v>设计/合同</x:v>
      </x:c>
      <x:c r="H163" s="11" t="str">
        <x:v>绘制AI威胁模型，按OWASP GenAI LLM Top 10（2026版）标记输入、检索、工具、输出风险</x:v>
      </x:c>
      <x:c r="I163" s="11" t="str">
        <x:v>docs/security/ai-threat-model.md</x:v>
      </x:c>
      <x:c r="J163" s="11" t="str">
        <x:v>提示词注入、越权代理、向量污染与消耗攻击都有对应防线</x:v>
      </x:c>
      <x:c r="K163" s="11" t="str">
        <x:v>AI工具/权限</x:v>
      </x:c>
      <x:c r="L163" s="11" t="str">
        <x:v>参考官方2026版清单</x:v>
      </x:c>
      <x:c r="M163" s="14" t="n">
        <x:v>1.5</x:v>
      </x:c>
      <x:c r="N163" s="16"/>
      <x:c r="O163" s="17" t="str">
        <x:v>未开始</x:v>
      </x:c>
      <x:c r="P163" s="17" t="str">
        <x:v>待验收</x:v>
      </x:c>
      <x:c r="Q163" s="17"/>
      <x:c r="R163" s="17"/>
      <x:c r="S163" s="11" t="str">
        <x:f>IF(AND(O163="已完成",P163="通过",LEN(Q163)&gt;0,LEN(R163)&gt;0),"可计入",IF(O163="已取消","已取消","待证据"))</x:f>
        <x:v>待证据</x:v>
      </x:c>
      <x:c r="T163" s="11"/>
      <x:c r="U163" s="11"/>
      <x:c r="V163" s="11"/>
      <x:c r="W163" s="11" t="str">
        <x:v>算法：图的遍历</x:v>
      </x:c>
    </x:row>
    <x:row r="164" ht="45" customHeight="1">
      <x:c r="A164" s="11" t="n">
        <x:v>24</x:v>
      </x:c>
      <x:c r="B164" s="11" t="str">
        <x:v>2027-04-13</x:v>
      </x:c>
      <x:c r="C164" s="11" t="str">
        <x:v>二</x:v>
      </x:c>
      <x:c r="D164" s="11" t="str">
        <x:v>SC-2402</x:v>
      </x:c>
      <x:c r="E164" s="11" t="str">
        <x:v>Phase-24 AI安全</x:v>
      </x:c>
      <x:c r="F164" s="11" t="str">
        <x:v>Must</x:v>
      </x:c>
      <x:c r="G164" s="11" t="str">
        <x:v>开发/验证</x:v>
      </x:c>
      <x:c r="H164" s="11" t="str">
        <x:v>建立20条恶意输入集：泄露系统提示、越权、指令注入</x:v>
      </x:c>
      <x:c r="I164" s="11" t="str">
        <x:v>eval/attacks.jsonl</x:v>
      </x:c>
      <x:c r="J164" s="11" t="str">
        <x:v>每条标记预期拒绝/降级/允许</x:v>
      </x:c>
      <x:c r="K164" s="11" t="str">
        <x:v>AI工具/权限</x:v>
      </x:c>
      <x:c r="L164" s="11" t="str">
        <x:v>核心路径先独立设计与实现；AI仅提示/审查，提交前能口述原理。</x:v>
      </x:c>
      <x:c r="M164" s="14" t="n">
        <x:v>1.5</x:v>
      </x:c>
      <x:c r="N164" s="16"/>
      <x:c r="O164" s="17" t="str">
        <x:v>未开始</x:v>
      </x:c>
      <x:c r="P164" s="17" t="str">
        <x:v>待验收</x:v>
      </x:c>
      <x:c r="Q164" s="17"/>
      <x:c r="R164" s="17"/>
      <x:c r="S164" s="11" t="str">
        <x:f>IF(AND(O164="已完成",P164="通过",LEN(Q164)&gt;0,LEN(R164)&gt;0),"可计入",IF(O164="已取消","已取消","待证据"))</x:f>
        <x:v>待证据</x:v>
      </x:c>
      <x:c r="T164" s="11"/>
      <x:c r="U164" s="11"/>
      <x:c r="V164" s="11"/>
      <x:c r="W164" s="11" t="str">
        <x:v>基础：OWASP API/LLM安全、输入边界</x:v>
      </x:c>
    </x:row>
    <x:row r="165" ht="45" customHeight="1">
      <x:c r="A165" s="11" t="n">
        <x:v>24</x:v>
      </x:c>
      <x:c r="B165" s="11" t="str">
        <x:v>2027-04-14</x:v>
      </x:c>
      <x:c r="C165" s="11" t="str">
        <x:v>三</x:v>
      </x:c>
      <x:c r="D165" s="11" t="str">
        <x:v>SC-2403</x:v>
      </x:c>
      <x:c r="E165" s="11" t="str">
        <x:v>Phase-24 AI安全</x:v>
      </x:c>
      <x:c r="F165" s="11" t="str">
        <x:v>Must</x:v>
      </x:c>
      <x:c r="G165" s="11" t="str">
        <x:v>开发/验证</x:v>
      </x:c>
      <x:c r="H165" s="11" t="str">
        <x:v>在RAG检索结果中植入恶意指令样例，验证不执行</x:v>
      </x:c>
      <x:c r="I165" s="11" t="str">
        <x:v>AiPromptInjectionIT</x:v>
      </x:c>
      <x:c r="J165" s="11" t="str">
        <x:v>知识片段不能变成高优先级指令</x:v>
      </x:c>
      <x:c r="K165" s="11" t="str">
        <x:v>AI工具/权限</x:v>
      </x:c>
      <x:c r="L165" s="11" t="str">
        <x:v>核心路径先独立设计与实现；AI仅提示/审查，提交前能口述原理。</x:v>
      </x:c>
      <x:c r="M165" s="14" t="n">
        <x:v>1.5</x:v>
      </x:c>
      <x:c r="N165" s="16"/>
      <x:c r="O165" s="17" t="str">
        <x:v>未开始</x:v>
      </x:c>
      <x:c r="P165" s="17" t="str">
        <x:v>待验收</x:v>
      </x:c>
      <x:c r="Q165" s="17"/>
      <x:c r="R165" s="17"/>
      <x:c r="S165" s="11" t="str">
        <x:f>IF(AND(O165="已完成",P165="通过",LEN(Q165)&gt;0,LEN(R165)&gt;0),"可计入",IF(O165="已取消","已取消","待证据"))</x:f>
        <x:v>待证据</x:v>
      </x:c>
      <x:c r="T165" s="11"/>
      <x:c r="U165" s="11"/>
      <x:c r="V165" s="11"/>
      <x:c r="W165" s="11" t="str">
        <x:v>算法：图的遍历</x:v>
      </x:c>
    </x:row>
    <x:row r="166" ht="45" customHeight="1">
      <x:c r="A166" s="11" t="n">
        <x:v>24</x:v>
      </x:c>
      <x:c r="B166" s="11" t="str">
        <x:v>2027-04-15</x:v>
      </x:c>
      <x:c r="C166" s="11" t="str">
        <x:v>四</x:v>
      </x:c>
      <x:c r="D166" s="11" t="str">
        <x:v>SC-2404</x:v>
      </x:c>
      <x:c r="E166" s="11" t="str">
        <x:v>Phase-24 AI安全</x:v>
      </x:c>
      <x:c r="F166" s="11" t="str">
        <x:v>Must</x:v>
      </x:c>
      <x:c r="G166" s="11" t="str">
        <x:v>开发/验证</x:v>
      </x:c>
      <x:c r="H166" s="11" t="str">
        <x:v>实现输出校验：过滤敏感字段、约束结构化字段、限制链接域名</x:v>
      </x:c>
      <x:c r="I166" s="11" t="str">
        <x:v>AiOutputPolicy</x:v>
      </x:c>
      <x:c r="J166" s="11" t="str">
        <x:v>模型输出不能直接成为数据库写指令</x:v>
      </x:c>
      <x:c r="K166" s="11" t="str">
        <x:v>AI工具/权限</x:v>
      </x:c>
      <x:c r="L166" s="11" t="str">
        <x:v>核心路径先独立设计与实现；AI仅提示/审查，提交前能口述原理。</x:v>
      </x:c>
      <x:c r="M166" s="14" t="n">
        <x:v>1.5</x:v>
      </x:c>
      <x:c r="N166" s="16"/>
      <x:c r="O166" s="17" t="str">
        <x:v>未开始</x:v>
      </x:c>
      <x:c r="P166" s="17" t="str">
        <x:v>待验收</x:v>
      </x:c>
      <x:c r="Q166" s="17"/>
      <x:c r="R166" s="17"/>
      <x:c r="S166" s="11" t="str">
        <x:f>IF(AND(O166="已完成",P166="通过",LEN(Q166)&gt;0,LEN(R166)&gt;0),"可计入",IF(O166="已取消","已取消","待证据"))</x:f>
        <x:v>待证据</x:v>
      </x:c>
      <x:c r="T166" s="11"/>
      <x:c r="U166" s="11"/>
      <x:c r="V166" s="11"/>
      <x:c r="W166" s="11" t="str">
        <x:v>基础：OWASP API/LLM安全、输入边界</x:v>
      </x:c>
    </x:row>
    <x:row r="167" ht="45" customHeight="1">
      <x:c r="A167" s="11" t="n">
        <x:v>24</x:v>
      </x:c>
      <x:c r="B167" s="11" t="str">
        <x:v>2027-04-16</x:v>
      </x:c>
      <x:c r="C167" s="11" t="str">
        <x:v>五</x:v>
      </x:c>
      <x:c r="D167" s="11" t="str">
        <x:v>SC-2405</x:v>
      </x:c>
      <x:c r="E167" s="11" t="str">
        <x:v>Phase-24 AI安全</x:v>
      </x:c>
      <x:c r="F167" s="11" t="str">
        <x:v>Must</x:v>
      </x:c>
      <x:c r="G167" s="11" t="str">
        <x:v>开发/验证</x:v>
      </x:c>
      <x:c r="H167" s="11" t="str">
        <x:v>AI日志脱敏与保留期限：检索片段、prompt、工具输入/输出默认不得完整落通用日志</x:v>
      </x:c>
      <x:c r="I167" s="11" t="str">
        <x:v>AiAuditPolicy + AiLoggingIT</x:v>
      </x:c>
      <x:c r="J167" s="11" t="str">
        <x:v>Trace可诊断但不泄漏私人订单、令牌和完整原文</x:v>
      </x:c>
      <x:c r="K167" s="11" t="str">
        <x:v>AI工具/权限</x:v>
      </x:c>
      <x:c r="L167" s="11" t="str">
        <x:v>发布前检查日志样本</x:v>
      </x:c>
      <x:c r="M167" s="14" t="n">
        <x:v>1</x:v>
      </x:c>
      <x:c r="N167" s="16"/>
      <x:c r="O167" s="17" t="str">
        <x:v>未开始</x:v>
      </x:c>
      <x:c r="P167" s="17" t="str">
        <x:v>待验收</x:v>
      </x:c>
      <x:c r="Q167" s="17"/>
      <x:c r="R167" s="17"/>
      <x:c r="S167" s="11" t="str">
        <x:f>IF(AND(O167="已完成",P167="通过",LEN(Q167)&gt;0,LEN(R167)&gt;0),"可计入",IF(O167="已取消","已取消","待证据"))</x:f>
        <x:v>待证据</x:v>
      </x:c>
      <x:c r="T167" s="11"/>
      <x:c r="U167" s="11"/>
      <x:c r="V167" s="11"/>
      <x:c r="W167" s="11" t="str">
        <x:v>算法：图的遍历</x:v>
      </x:c>
    </x:row>
    <x:row r="168" ht="45" customHeight="1">
      <x:c r="A168" s="11" t="n">
        <x:v>24</x:v>
      </x:c>
      <x:c r="B168" s="11" t="str">
        <x:v>2027-04-17</x:v>
      </x:c>
      <x:c r="C168" s="11" t="str">
        <x:v>六</x:v>
      </x:c>
      <x:c r="D168" s="11" t="str">
        <x:v>SC-2406</x:v>
      </x:c>
      <x:c r="E168" s="11" t="str">
        <x:v>Phase-24 AI安全</x:v>
      </x:c>
      <x:c r="F168" s="11" t="str">
        <x:v>Must</x:v>
      </x:c>
      <x:c r="G168" s="11" t="str">
        <x:v>开发/验证</x:v>
      </x:c>
      <x:c r="H168" s="11" t="str">
        <x:v>配置API层频控、并发限制、Token预算，验证恶意刷接口</x:v>
      </x:c>
      <x:c r="I168" s="11" t="str">
        <x:v>AiBudgetPolicy</x:v>
      </x:c>
      <x:c r="J168" s="11" t="str">
        <x:v>超额请求被拒绝且有指标</x:v>
      </x:c>
      <x:c r="K168" s="11" t="str">
        <x:v>AI工具/权限</x:v>
      </x:c>
      <x:c r="L168" s="11" t="str">
        <x:v>核心路径先独立设计与实现；AI仅提示/审查，提交前能口述原理。</x:v>
      </x:c>
      <x:c r="M168" s="14" t="n">
        <x:v>2.5</x:v>
      </x:c>
      <x:c r="N168" s="16"/>
      <x:c r="O168" s="17" t="str">
        <x:v>未开始</x:v>
      </x:c>
      <x:c r="P168" s="17" t="str">
        <x:v>待验收</x:v>
      </x:c>
      <x:c r="Q168" s="17"/>
      <x:c r="R168" s="17"/>
      <x:c r="S168" s="11" t="str">
        <x:f>IF(AND(O168="已完成",P168="通过",LEN(Q168)&gt;0,LEN(R168)&gt;0),"可计入",IF(O168="已取消","已取消","待证据"))</x:f>
        <x:v>待证据</x:v>
      </x:c>
      <x:c r="T168" s="11"/>
      <x:c r="U168" s="11"/>
      <x:c r="V168" s="11"/>
      <x:c r="W168" s="11" t="str">
        <x:v>求职/返工缓冲或补测试</x:v>
      </x:c>
    </x:row>
    <x:row r="169" ht="45" customHeight="1">
      <x:c r="A169" s="11" t="n">
        <x:v>24</x:v>
      </x:c>
      <x:c r="B169" s="11" t="str">
        <x:v>2027-04-18</x:v>
      </x:c>
      <x:c r="C169" s="11" t="str">
        <x:v>日</x:v>
      </x:c>
      <x:c r="D169" s="11" t="str">
        <x:v>SC-2407</x:v>
      </x:c>
      <x:c r="E169" s="11" t="str">
        <x:v>Phase-24 AI安全</x:v>
      </x:c>
      <x:c r="F169" s="11" t="str">
        <x:v>Must</x:v>
      </x:c>
      <x:c r="G169" s="11" t="str">
        <x:v>缓冲/回归</x:v>
      </x:c>
      <x:c r="H169" s="11" t="str">
        <x:v>生成AI安全测试报告并修复最严重的两项问题</x:v>
      </x:c>
      <x:c r="I169" s="11" t="str">
        <x:v>docs/security/ai-redteam-v1.md</x:v>
      </x:c>
      <x:c r="J169" s="11" t="str">
        <x:v>每个风险有复现/修复/回归证据</x:v>
      </x:c>
      <x:c r="K169" s="11" t="str">
        <x:v>AI工具/权限</x:v>
      </x:c>
      <x:c r="L169" s="11" t="str">
        <x:v>核心路径先独立设计与实现；AI仅提示/审查，提交前能口述原理。</x:v>
      </x:c>
      <x:c r="M169" s="14" t="n">
        <x:v>0.5</x:v>
      </x:c>
      <x:c r="N169" s="16"/>
      <x:c r="O169" s="17" t="str">
        <x:v>未开始</x:v>
      </x:c>
      <x:c r="P169" s="17" t="str">
        <x:v>待验收</x:v>
      </x:c>
      <x:c r="Q169" s="17"/>
      <x:c r="R169" s="17"/>
      <x:c r="S169" s="11" t="str">
        <x:f>IF(AND(O169="已完成",P169="通过",LEN(Q169)&gt;0,LEN(R169)&gt;0),"可计入",IF(O169="已取消","已取消","待证据"))</x:f>
        <x:v>待证据</x:v>
      </x:c>
      <x:c r="T169" s="11"/>
      <x:c r="U169" s="11"/>
      <x:c r="V169" s="11"/>
      <x:c r="W169" s="11" t="str">
        <x:v>周复盘+证据归档</x:v>
      </x:c>
    </x:row>
    <x:row r="170" ht="45" customHeight="1">
      <x:c r="A170" s="11" t="n">
        <x:v>25</x:v>
      </x:c>
      <x:c r="B170" s="11" t="str">
        <x:v>2027-04-19</x:v>
      </x:c>
      <x:c r="C170" s="11" t="str">
        <x:v>一</x:v>
      </x:c>
      <x:c r="D170" s="11" t="str">
        <x:v>SC-2501</x:v>
      </x:c>
      <x:c r="E170" s="11" t="str">
        <x:v>Phase-25 AI可靠性和成本</x:v>
      </x:c>
      <x:c r="F170" s="11" t="str">
        <x:v>Should</x:v>
      </x:c>
      <x:c r="G170" s="11" t="str">
        <x:v>设计/合同</x:v>
      </x:c>
      <x:c r="H170" s="11" t="str">
        <x:v>定义AI请求指标：输入/输出token、耗时、失败率、检索命中</x:v>
      </x:c>
      <x:c r="I170" s="11" t="str">
        <x:v>docs/ops/ai-metrics.md</x:v>
      </x:c>
      <x:c r="J170" s="11" t="str">
        <x:v>每个指标有采集口径</x:v>
      </x:c>
      <x:c r="K170" s="11" t="str">
        <x:v>AI服务故障</x:v>
      </x:c>
      <x:c r="L170" s="11" t="str">
        <x:v>核心路径先独立设计与实现；AI仅提示/审查，提交前能口述原理。</x:v>
      </x:c>
      <x:c r="M170" s="14" t="n">
        <x:v>1.5</x:v>
      </x:c>
      <x:c r="N170" s="16"/>
      <x:c r="O170" s="17" t="str">
        <x:v>未开始</x:v>
      </x:c>
      <x:c r="P170" s="17" t="str">
        <x:v>待验收</x:v>
      </x:c>
      <x:c r="Q170" s="17"/>
      <x:c r="R170" s="17"/>
      <x:c r="S170" s="11" t="str">
        <x:f>IF(AND(O170="已完成",P170="通过",LEN(Q170)&gt;0,LEN(R170)&gt;0),"可计入",IF(O170="已取消","已取消","待证据"))</x:f>
        <x:v>待证据</x:v>
      </x:c>
      <x:c r="T170" s="11"/>
      <x:c r="U170" s="11"/>
      <x:c r="V170" s="11"/>
      <x:c r="W170" s="11" t="str">
        <x:v>算法：堆/贪心</x:v>
      </x:c>
    </x:row>
    <x:row r="171" ht="45" customHeight="1">
      <x:c r="A171" s="11" t="n">
        <x:v>25</x:v>
      </x:c>
      <x:c r="B171" s="11" t="str">
        <x:v>2027-04-20</x:v>
      </x:c>
      <x:c r="C171" s="11" t="str">
        <x:v>二</x:v>
      </x:c>
      <x:c r="D171" s="11" t="str">
        <x:v>SC-2502</x:v>
      </x:c>
      <x:c r="E171" s="11" t="str">
        <x:v>Phase-25 AI可靠性和成本</x:v>
      </x:c>
      <x:c r="F171" s="11" t="str">
        <x:v>Should</x:v>
      </x:c>
      <x:c r="G171" s="11" t="str">
        <x:v>开发/验证</x:v>
      </x:c>
      <x:c r="H171" s="11" t="str">
        <x:v>接入Spring AI的Observability并连接现有监控</x:v>
      </x:c>
      <x:c r="I171" s="11" t="str">
        <x:v>AiMetricsConfig</x:v>
      </x:c>
      <x:c r="J171" s="11" t="str">
        <x:v>查得到模型请求次数/延迟/估算用量</x:v>
      </x:c>
      <x:c r="K171" s="11" t="str">
        <x:v>AI服务故障</x:v>
      </x:c>
      <x:c r="L171" s="11" t="str">
        <x:v>核心路径先独立设计与实现；AI仅提示/审查，提交前能口述原理。</x:v>
      </x:c>
      <x:c r="M171" s="14" t="n">
        <x:v>1.5</x:v>
      </x:c>
      <x:c r="N171" s="16"/>
      <x:c r="O171" s="17" t="str">
        <x:v>未开始</x:v>
      </x:c>
      <x:c r="P171" s="17" t="str">
        <x:v>待验收</x:v>
      </x:c>
      <x:c r="Q171" s="17"/>
      <x:c r="R171" s="17"/>
      <x:c r="S171" s="11" t="str">
        <x:f>IF(AND(O171="已完成",P171="通过",LEN(Q171)&gt;0,LEN(R171)&gt;0),"可计入",IF(O171="已取消","已取消","待证据"))</x:f>
        <x:v>待证据</x:v>
      </x:c>
      <x:c r="T171" s="11"/>
      <x:c r="U171" s="11"/>
      <x:c r="V171" s="11"/>
      <x:c r="W171" s="11" t="str">
        <x:v>基础：连接池、并发、成本预算</x:v>
      </x:c>
    </x:row>
    <x:row r="172" ht="45" customHeight="1">
      <x:c r="A172" s="11" t="n">
        <x:v>25</x:v>
      </x:c>
      <x:c r="B172" s="11" t="str">
        <x:v>2027-04-21</x:v>
      </x:c>
      <x:c r="C172" s="11" t="str">
        <x:v>三</x:v>
      </x:c>
      <x:c r="D172" s="11" t="str">
        <x:v>SC-2503</x:v>
      </x:c>
      <x:c r="E172" s="11" t="str">
        <x:v>Phase-25 AI可靠性和成本</x:v>
      </x:c>
      <x:c r="F172" s="11" t="str">
        <x:v>Must</x:v>
      </x:c>
      <x:c r="G172" s="11" t="str">
        <x:v>开发/验证</x:v>
      </x:c>
      <x:c r="H172" s="11" t="str">
        <x:v>实现会话/用户的日请求额度与成本上限</x:v>
      </x:c>
      <x:c r="I172" s="11" t="str">
        <x:v>AiQuotaService</x:v>
      </x:c>
      <x:c r="J172" s="11" t="str">
        <x:v>超过预算返回友好提示并无外部模型调用</x:v>
      </x:c>
      <x:c r="K172" s="11" t="str">
        <x:v>AI服务故障</x:v>
      </x:c>
      <x:c r="L172" s="11" t="str">
        <x:v>核心路径先独立设计与实现；AI仅提示/审查，提交前能口述原理。</x:v>
      </x:c>
      <x:c r="M172" s="14" t="n">
        <x:v>1.5</x:v>
      </x:c>
      <x:c r="N172" s="16"/>
      <x:c r="O172" s="17" t="str">
        <x:v>未开始</x:v>
      </x:c>
      <x:c r="P172" s="17" t="str">
        <x:v>待验收</x:v>
      </x:c>
      <x:c r="Q172" s="17"/>
      <x:c r="R172" s="17"/>
      <x:c r="S172" s="11" t="str">
        <x:f>IF(AND(O172="已完成",P172="通过",LEN(Q172)&gt;0,LEN(R172)&gt;0),"可计入",IF(O172="已取消","已取消","待证据"))</x:f>
        <x:v>待证据</x:v>
      </x:c>
      <x:c r="T172" s="11"/>
      <x:c r="U172" s="11"/>
      <x:c r="V172" s="11"/>
      <x:c r="W172" s="11" t="str">
        <x:v>算法：堆/贪心</x:v>
      </x:c>
    </x:row>
    <x:row r="173" ht="45" customHeight="1">
      <x:c r="A173" s="11" t="n">
        <x:v>25</x:v>
      </x:c>
      <x:c r="B173" s="11" t="str">
        <x:v>2027-04-22</x:v>
      </x:c>
      <x:c r="C173" s="11" t="str">
        <x:v>四</x:v>
      </x:c>
      <x:c r="D173" s="11" t="str">
        <x:v>SC-2504</x:v>
      </x:c>
      <x:c r="E173" s="11" t="str">
        <x:v>Phase-25 AI可靠性和成本</x:v>
      </x:c>
      <x:c r="F173" s="11" t="str">
        <x:v>Must</x:v>
      </x:c>
      <x:c r="G173" s="11" t="str">
        <x:v>开发/验证</x:v>
      </x:c>
      <x:c r="H173" s="11" t="str">
        <x:v>为超时/限流/供应商故障实现安全降级到静态FAQ或人工工单</x:v>
      </x:c>
      <x:c r="I173" s="11" t="str">
        <x:v>AiFallbackService</x:v>
      </x:c>
      <x:c r="J173" s="11" t="str">
        <x:v>故障时仍可访问普通订单API</x:v>
      </x:c>
      <x:c r="K173" s="11" t="str">
        <x:v>AI服务故障</x:v>
      </x:c>
      <x:c r="L173" s="11" t="str">
        <x:v>核心路径先独立设计与实现；AI仅提示/审查，提交前能口述原理。</x:v>
      </x:c>
      <x:c r="M173" s="14" t="n">
        <x:v>1.5</x:v>
      </x:c>
      <x:c r="N173" s="16"/>
      <x:c r="O173" s="17" t="str">
        <x:v>未开始</x:v>
      </x:c>
      <x:c r="P173" s="17" t="str">
        <x:v>待验收</x:v>
      </x:c>
      <x:c r="Q173" s="17"/>
      <x:c r="R173" s="17"/>
      <x:c r="S173" s="11" t="str">
        <x:f>IF(AND(O173="已完成",P173="通过",LEN(Q173)&gt;0,LEN(R173)&gt;0),"可计入",IF(O173="已取消","已取消","待证据"))</x:f>
        <x:v>待证据</x:v>
      </x:c>
      <x:c r="T173" s="11"/>
      <x:c r="U173" s="11"/>
      <x:c r="V173" s="11"/>
      <x:c r="W173" s="11" t="str">
        <x:v>基础：连接池、并发、成本预算</x:v>
      </x:c>
    </x:row>
    <x:row r="174" ht="45" customHeight="1">
      <x:c r="A174" s="11" t="n">
        <x:v>25</x:v>
      </x:c>
      <x:c r="B174" s="11" t="str">
        <x:v>2027-04-23</x:v>
      </x:c>
      <x:c r="C174" s="11" t="str">
        <x:v>五</x:v>
      </x:c>
      <x:c r="D174" s="11" t="str">
        <x:v>SC-2505</x:v>
      </x:c>
      <x:c r="E174" s="11" t="str">
        <x:v>Phase-25 AI可靠性和成本</x:v>
      </x:c>
      <x:c r="F174" s="11" t="str">
        <x:v>Should</x:v>
      </x:c>
      <x:c r="G174" s="11" t="str">
        <x:v>开发/验证</x:v>
      </x:c>
      <x:c r="H174" s="11" t="str">
        <x:v>固定模型/版本/知识库快照，测正常FAQ、查单、长上下文的p50/p95/成本和失败率</x:v>
      </x:c>
      <x:c r="I174" s="11" t="str">
        <x:v>eval/ai-cost-latency.csv + docs/ai/benchmark.md</x:v>
      </x:c>
      <x:c r="J174" s="11" t="str">
        <x:v>每类样本量、参数、时间窗口、环境写清楚</x:v>
      </x:c>
      <x:c r="K174" s="11" t="str">
        <x:v>AI服务故障</x:v>
      </x:c>
      <x:c r="L174" s="11" t="str">
        <x:v>不得把延迟单次样本冒充稳定平均</x:v>
      </x:c>
      <x:c r="M174" s="14" t="n">
        <x:v>1</x:v>
      </x:c>
      <x:c r="N174" s="16"/>
      <x:c r="O174" s="17" t="str">
        <x:v>未开始</x:v>
      </x:c>
      <x:c r="P174" s="17" t="str">
        <x:v>待验收</x:v>
      </x:c>
      <x:c r="Q174" s="17"/>
      <x:c r="R174" s="17"/>
      <x:c r="S174" s="11" t="str">
        <x:f>IF(AND(O174="已完成",P174="通过",LEN(Q174)&gt;0,LEN(R174)&gt;0),"可计入",IF(O174="已取消","已取消","待证据"))</x:f>
        <x:v>待证据</x:v>
      </x:c>
      <x:c r="T174" s="11"/>
      <x:c r="U174" s="11"/>
      <x:c r="V174" s="11"/>
      <x:c r="W174" s="11" t="str">
        <x:v>算法：堆/贪心</x:v>
      </x:c>
    </x:row>
    <x:row r="175" ht="45" customHeight="1">
      <x:c r="A175" s="11" t="n">
        <x:v>25</x:v>
      </x:c>
      <x:c r="B175" s="11" t="str">
        <x:v>2027-04-24</x:v>
      </x:c>
      <x:c r="C175" s="11" t="str">
        <x:v>六</x:v>
      </x:c>
      <x:c r="D175" s="11" t="str">
        <x:v>SC-2506</x:v>
      </x:c>
      <x:c r="E175" s="11" t="str">
        <x:v>Phase-25 AI可靠性和成本</x:v>
      </x:c>
      <x:c r="F175" s="11" t="str">
        <x:v>Should</x:v>
      </x:c>
      <x:c r="G175" s="11" t="str">
        <x:v>开发/验证</x:v>
      </x:c>
      <x:c r="H175" s="11" t="str">
        <x:v>为AI请求追踪增加requestId、模型版本和prompt版本</x:v>
      </x:c>
      <x:c r="I175" s="11" t="str">
        <x:v>AiRequestAudit</x:v>
      </x:c>
      <x:c r="J175" s="11" t="str">
        <x:v>可追溯问题来源但不记录敏感原文</x:v>
      </x:c>
      <x:c r="K175" s="11" t="str">
        <x:v>AI服务故障</x:v>
      </x:c>
      <x:c r="L175" s="11" t="str">
        <x:v>核心路径先独立设计与实现；AI仅提示/审查，提交前能口述原理。</x:v>
      </x:c>
      <x:c r="M175" s="14" t="n">
        <x:v>2.5</x:v>
      </x:c>
      <x:c r="N175" s="16"/>
      <x:c r="O175" s="17" t="str">
        <x:v>未开始</x:v>
      </x:c>
      <x:c r="P175" s="17" t="str">
        <x:v>待验收</x:v>
      </x:c>
      <x:c r="Q175" s="17"/>
      <x:c r="R175" s="17"/>
      <x:c r="S175" s="11" t="str">
        <x:f>IF(AND(O175="已完成",P175="通过",LEN(Q175)&gt;0,LEN(R175)&gt;0),"可计入",IF(O175="已取消","已取消","待证据"))</x:f>
        <x:v>待证据</x:v>
      </x:c>
      <x:c r="T175" s="11"/>
      <x:c r="U175" s="11"/>
      <x:c r="V175" s="11"/>
      <x:c r="W175" s="11" t="str">
        <x:v>求职/返工缓冲或补测试</x:v>
      </x:c>
    </x:row>
    <x:row r="176" ht="45" customHeight="1">
      <x:c r="A176" s="11" t="n">
        <x:v>25</x:v>
      </x:c>
      <x:c r="B176" s="11" t="str">
        <x:v>2027-04-25</x:v>
      </x:c>
      <x:c r="C176" s="11" t="str">
        <x:v>日</x:v>
      </x:c>
      <x:c r="D176" s="11" t="str">
        <x:v>SC-2507</x:v>
      </x:c>
      <x:c r="E176" s="11" t="str">
        <x:v>Phase-25 AI可靠性和成本</x:v>
      </x:c>
      <x:c r="F176" s="11" t="str">
        <x:v>Must</x:v>
      </x:c>
      <x:c r="G176" s="11" t="str">
        <x:v>缓冲/回归</x:v>
      </x:c>
      <x:c r="H176" s="11" t="str">
        <x:v>AI供应商故障演练与缓冲，优先消除不能安全降级的缺陷</x:v>
      </x:c>
      <x:c r="I176" s="11" t="str">
        <x:v>docs/faults/ai-provider-outage.md</x:v>
      </x:c>
      <x:c r="J176" s="11" t="str">
        <x:v>Provider不可用时可走FAQ/人工，订单正常</x:v>
      </x:c>
      <x:c r="K176" s="11" t="str">
        <x:v>AI服务故障</x:v>
      </x:c>
      <x:c r="L176" s="11" t="str">
        <x:v>避免无界重试造成费用和雪崩</x:v>
      </x:c>
      <x:c r="M176" s="14" t="n">
        <x:v>0.5</x:v>
      </x:c>
      <x:c r="N176" s="16"/>
      <x:c r="O176" s="17" t="str">
        <x:v>未开始</x:v>
      </x:c>
      <x:c r="P176" s="17" t="str">
        <x:v>待验收</x:v>
      </x:c>
      <x:c r="Q176" s="17"/>
      <x:c r="R176" s="17"/>
      <x:c r="S176" s="11" t="str">
        <x:f>IF(AND(O176="已完成",P176="通过",LEN(Q176)&gt;0,LEN(R176)&gt;0),"可计入",IF(O176="已取消","已取消","待证据"))</x:f>
        <x:v>待证据</x:v>
      </x:c>
      <x:c r="T176" s="11"/>
      <x:c r="U176" s="11"/>
      <x:c r="V176" s="11"/>
      <x:c r="W176" s="11" t="str">
        <x:v>周复盘+证据归档</x:v>
      </x:c>
    </x:row>
    <x:row r="177" ht="45" customHeight="1">
      <x:c r="A177" s="11" t="n">
        <x:v>26</x:v>
      </x:c>
      <x:c r="B177" s="11" t="str">
        <x:v>2027-04-26</x:v>
      </x:c>
      <x:c r="C177" s="11" t="str">
        <x:v>一</x:v>
      </x:c>
      <x:c r="D177" s="11" t="str">
        <x:v>SC-2601</x:v>
      </x:c>
      <x:c r="E177" s="11" t="str">
        <x:v>Phase-26 工单辅助</x:v>
      </x:c>
      <x:c r="F177" s="11" t="str">
        <x:v>Should</x:v>
      </x:c>
      <x:c r="G177" s="11" t="str">
        <x:v>设计/合同</x:v>
      </x:c>
      <x:c r="H177" s="11" t="str">
        <x:v>写客服工单AI辅助PRD：摘要、分类、草稿、置信提示</x:v>
      </x:c>
      <x:c r="I177" s="11" t="str">
        <x:v>docs/prd/ai-ticket-assist.md</x:v>
      </x:c>
      <x:c r="J177" s="11" t="str">
        <x:v>明确AI不会直接完成退款/改订单</x:v>
      </x:c>
      <x:c r="K177" s="11" t="str">
        <x:v>AI服务故障</x:v>
      </x:c>
      <x:c r="L177" s="11" t="str">
        <x:v>核心路径先独立设计与实现；AI仅提示/审查，提交前能口述原理。</x:v>
      </x:c>
      <x:c r="M177" s="14" t="n">
        <x:v>1.5</x:v>
      </x:c>
      <x:c r="N177" s="16"/>
      <x:c r="O177" s="17" t="str">
        <x:v>未开始</x:v>
      </x:c>
      <x:c r="P177" s="17" t="str">
        <x:v>待验收</x:v>
      </x:c>
      <x:c r="Q177" s="17"/>
      <x:c r="R177" s="17"/>
      <x:c r="S177" s="11" t="str">
        <x:f>IF(AND(O177="已完成",P177="通过",LEN(Q177)&gt;0,LEN(R177)&gt;0),"可计入",IF(O177="已取消","已取消","待证据"))</x:f>
        <x:v>待证据</x:v>
      </x:c>
      <x:c r="T177" s="11"/>
      <x:c r="U177" s="11"/>
      <x:c r="V177" s="11"/>
      <x:c r="W177" s="11" t="str">
        <x:v>算法：动态规划入门</x:v>
      </x:c>
    </x:row>
    <x:row r="178" ht="45" customHeight="1">
      <x:c r="A178" s="11" t="n">
        <x:v>26</x:v>
      </x:c>
      <x:c r="B178" s="11" t="str">
        <x:v>2027-04-27</x:v>
      </x:c>
      <x:c r="C178" s="11" t="str">
        <x:v>二</x:v>
      </x:c>
      <x:c r="D178" s="11" t="str">
        <x:v>SC-2602</x:v>
      </x:c>
      <x:c r="E178" s="11" t="str">
        <x:v>Phase-26 工单辅助</x:v>
      </x:c>
      <x:c r="F178" s="11" t="str">
        <x:v>Should</x:v>
      </x:c>
      <x:c r="G178" s="11" t="str">
        <x:v>设计/合同</x:v>
      </x:c>
      <x:c r="H178" s="11" t="str">
        <x:v>设计ai_suggestions表记录模型版本、草稿、审核状态</x:v>
      </x:c>
      <x:c r="I178" s="11" t="str">
        <x:v>V14__ai_suggestions.sql</x:v>
      </x:c>
      <x:c r="J178" s="11" t="str">
        <x:v>支持审核和历史追溯</x:v>
      </x:c>
      <x:c r="K178" s="11" t="str">
        <x:v>AI服务故障</x:v>
      </x:c>
      <x:c r="L178" s="11" t="str">
        <x:v>核心路径先独立设计与实现；AI仅提示/审查，提交前能口述原理。</x:v>
      </x:c>
      <x:c r="M178" s="14" t="n">
        <x:v>1.5</x:v>
      </x:c>
      <x:c r="N178" s="16"/>
      <x:c r="O178" s="17" t="str">
        <x:v>未开始</x:v>
      </x:c>
      <x:c r="P178" s="17" t="str">
        <x:v>待验收</x:v>
      </x:c>
      <x:c r="Q178" s="17"/>
      <x:c r="R178" s="17"/>
      <x:c r="S178" s="11" t="str">
        <x:f>IF(AND(O178="已完成",P178="通过",LEN(Q178)&gt;0,LEN(R178)&gt;0),"可计入",IF(O178="已取消","已取消","待证据"))</x:f>
        <x:v>待证据</x:v>
      </x:c>
      <x:c r="T178" s="11"/>
      <x:c r="U178" s="11"/>
      <x:c r="V178" s="11"/>
      <x:c r="W178" s="11" t="str">
        <x:v>基础：JSON Schema/后端参数校验</x:v>
      </x:c>
    </x:row>
    <x:row r="179" ht="45" customHeight="1">
      <x:c r="A179" s="11" t="n">
        <x:v>26</x:v>
      </x:c>
      <x:c r="B179" s="11" t="str">
        <x:v>2027-04-28</x:v>
      </x:c>
      <x:c r="C179" s="11" t="str">
        <x:v>三</x:v>
      </x:c>
      <x:c r="D179" s="11" t="str">
        <x:v>SC-2603</x:v>
      </x:c>
      <x:c r="E179" s="11" t="str">
        <x:v>Phase-26 工单辅助</x:v>
      </x:c>
      <x:c r="F179" s="11" t="str">
        <x:v>Should</x:v>
      </x:c>
      <x:c r="G179" s="11" t="str">
        <x:v>开发/验证</x:v>
      </x:c>
      <x:c r="H179" s="11" t="str">
        <x:v>实现POST /support/tickets/{id}/ai-suggestion</x:v>
      </x:c>
      <x:c r="I179" s="11" t="str">
        <x:v>AiTicketSuggestionService</x:v>
      </x:c>
      <x:c r="J179" s="11" t="str">
        <x:v>只有SUPPORT或ADMIN能触发</x:v>
      </x:c>
      <x:c r="K179" s="11" t="str">
        <x:v>AI服务故障</x:v>
      </x:c>
      <x:c r="L179" s="11" t="str">
        <x:v>核心路径先独立设计与实现；AI仅提示/审查，提交前能口述原理。</x:v>
      </x:c>
      <x:c r="M179" s="14" t="n">
        <x:v>1.5</x:v>
      </x:c>
      <x:c r="N179" s="16"/>
      <x:c r="O179" s="17" t="str">
        <x:v>未开始</x:v>
      </x:c>
      <x:c r="P179" s="17" t="str">
        <x:v>待验收</x:v>
      </x:c>
      <x:c r="Q179" s="17"/>
      <x:c r="R179" s="17"/>
      <x:c r="S179" s="11" t="str">
        <x:f>IF(AND(O179="已完成",P179="通过",LEN(Q179)&gt;0,LEN(R179)&gt;0),"可计入",IF(O179="已取消","已取消","待证据"))</x:f>
        <x:v>待证据</x:v>
      </x:c>
      <x:c r="T179" s="11"/>
      <x:c r="U179" s="11"/>
      <x:c r="V179" s="11"/>
      <x:c r="W179" s="11" t="str">
        <x:v>算法：动态规划入门</x:v>
      </x:c>
    </x:row>
    <x:row r="180" ht="45" customHeight="1">
      <x:c r="A180" s="11" t="n">
        <x:v>26</x:v>
      </x:c>
      <x:c r="B180" s="11" t="str">
        <x:v>2027-04-29</x:v>
      </x:c>
      <x:c r="C180" s="11" t="str">
        <x:v>四</x:v>
      </x:c>
      <x:c r="D180" s="11" t="str">
        <x:v>SC-2604</x:v>
      </x:c>
      <x:c r="E180" s="11" t="str">
        <x:v>Phase-26 工单辅助</x:v>
      </x:c>
      <x:c r="F180" s="11" t="str">
        <x:v>Should</x:v>
      </x:c>
      <x:c r="G180" s="11" t="str">
        <x:v>开发/验证</x:v>
      </x:c>
      <x:c r="H180" s="11" t="str">
        <x:v>实现摘要/标签结构化输出并校验枚举值</x:v>
      </x:c>
      <x:c r="I180" s="11" t="str">
        <x:v>TicketSummarySchema</x:v>
      </x:c>
      <x:c r="J180" s="11" t="str">
        <x:v>格式不合法时降级为人工录入</x:v>
      </x:c>
      <x:c r="K180" s="11" t="str">
        <x:v>AI服务故障</x:v>
      </x:c>
      <x:c r="L180" s="11" t="str">
        <x:v>核心路径先独立设计与实现；AI仅提示/审查，提交前能口述原理。</x:v>
      </x:c>
      <x:c r="M180" s="14" t="n">
        <x:v>1.5</x:v>
      </x:c>
      <x:c r="N180" s="16"/>
      <x:c r="O180" s="17" t="str">
        <x:v>未开始</x:v>
      </x:c>
      <x:c r="P180" s="17" t="str">
        <x:v>待验收</x:v>
      </x:c>
      <x:c r="Q180" s="17"/>
      <x:c r="R180" s="17"/>
      <x:c r="S180" s="11" t="str">
        <x:f>IF(AND(O180="已完成",P180="通过",LEN(Q180)&gt;0,LEN(R180)&gt;0),"可计入",IF(O180="已取消","已取消","待证据"))</x:f>
        <x:v>待证据</x:v>
      </x:c>
      <x:c r="T180" s="11"/>
      <x:c r="U180" s="11"/>
      <x:c r="V180" s="11"/>
      <x:c r="W180" s="11" t="str">
        <x:v>基础：JSON Schema/后端参数校验</x:v>
      </x:c>
    </x:row>
    <x:row r="181" ht="45" customHeight="1">
      <x:c r="A181" s="11" t="n">
        <x:v>26</x:v>
      </x:c>
      <x:c r="B181" s="11" t="str">
        <x:v>2027-04-30</x:v>
      </x:c>
      <x:c r="C181" s="11" t="str">
        <x:v>五</x:v>
      </x:c>
      <x:c r="D181" s="11" t="str">
        <x:v>SC-2605</x:v>
      </x:c>
      <x:c r="E181" s="11" t="str">
        <x:v>Phase-26 工单辅助</x:v>
      </x:c>
      <x:c r="F181" s="11" t="str">
        <x:v>Must</x:v>
      </x:c>
      <x:c r="G181" s="11" t="str">
        <x:v>开发/验证</x:v>
      </x:c>
      <x:c r="H181" s="11" t="str">
        <x:v>客服审核AI草稿：人工接受/修改/驳回都有事件审计，模型不能直接发送回复</x:v>
      </x:c>
      <x:c r="I181" s="11" t="str">
        <x:v>SupportSuggestionReviewService</x:v>
      </x:c>
      <x:c r="J181" s="11" t="str">
        <x:v>未经人工审核的草稿不会成为正式用户回复</x:v>
      </x:c>
      <x:c r="K181" s="11" t="str">
        <x:v>AI服务故障</x:v>
      </x:c>
      <x:c r="L181" s="11" t="str">
        <x:v>限制SUPPORT身份并过滤敏感字段</x:v>
      </x:c>
      <x:c r="M181" s="14" t="n">
        <x:v>1</x:v>
      </x:c>
      <x:c r="N181" s="16"/>
      <x:c r="O181" s="17" t="str">
        <x:v>未开始</x:v>
      </x:c>
      <x:c r="P181" s="17" t="str">
        <x:v>待验收</x:v>
      </x:c>
      <x:c r="Q181" s="17"/>
      <x:c r="R181" s="17"/>
      <x:c r="S181" s="11" t="str">
        <x:f>IF(AND(O181="已完成",P181="通过",LEN(Q181)&gt;0,LEN(R181)&gt;0),"可计入",IF(O181="已取消","已取消","待证据"))</x:f>
        <x:v>待证据</x:v>
      </x:c>
      <x:c r="T181" s="11"/>
      <x:c r="U181" s="11"/>
      <x:c r="V181" s="11"/>
      <x:c r="W181" s="11" t="str">
        <x:v>算法：动态规划入门</x:v>
      </x:c>
    </x:row>
    <x:row r="182" ht="45" customHeight="1">
      <x:c r="A182" s="11" t="n">
        <x:v>26</x:v>
      </x:c>
      <x:c r="B182" s="11" t="str">
        <x:v>2027-05-01</x:v>
      </x:c>
      <x:c r="C182" s="11" t="str">
        <x:v>六</x:v>
      </x:c>
      <x:c r="D182" s="11" t="str">
        <x:v>SC-2606</x:v>
      </x:c>
      <x:c r="E182" s="11" t="str">
        <x:v>Phase-26 工单辅助</x:v>
      </x:c>
      <x:c r="F182" s="11" t="str">
        <x:v>Should</x:v>
      </x:c>
      <x:c r="G182" s="11" t="str">
        <x:v>开发/验证</x:v>
      </x:c>
      <x:c r="H182" s="11" t="str">
        <x:v>基于20个模拟工单进行错误分类分析</x:v>
      </x:c>
      <x:c r="I182" s="11" t="str">
        <x:v>eval/ticket-review.csv</x:v>
      </x:c>
      <x:c r="J182" s="11" t="str">
        <x:v>记录人工采纳率，不编造成功率</x:v>
      </x:c>
      <x:c r="K182" s="11" t="str">
        <x:v>AI服务故障</x:v>
      </x:c>
      <x:c r="L182" s="11" t="str">
        <x:v>核心路径先独立设计与实现；AI仅提示/审查，提交前能口述原理。</x:v>
      </x:c>
      <x:c r="M182" s="14" t="n">
        <x:v>2.5</x:v>
      </x:c>
      <x:c r="N182" s="16"/>
      <x:c r="O182" s="17" t="str">
        <x:v>未开始</x:v>
      </x:c>
      <x:c r="P182" s="17" t="str">
        <x:v>待验收</x:v>
      </x:c>
      <x:c r="Q182" s="17"/>
      <x:c r="R182" s="17"/>
      <x:c r="S182" s="11" t="str">
        <x:f>IF(AND(O182="已完成",P182="通过",LEN(Q182)&gt;0,LEN(R182)&gt;0),"可计入",IF(O182="已取消","已取消","待证据"))</x:f>
        <x:v>待证据</x:v>
      </x:c>
      <x:c r="T182" s="11"/>
      <x:c r="U182" s="11"/>
      <x:c r="V182" s="11"/>
      <x:c r="W182" s="11" t="str">
        <x:v>求职/返工缓冲或补测试</x:v>
      </x:c>
    </x:row>
    <x:row r="183" ht="45" customHeight="1">
      <x:c r="A183" s="11" t="n">
        <x:v>26</x:v>
      </x:c>
      <x:c r="B183" s="11" t="str">
        <x:v>2027-05-02</x:v>
      </x:c>
      <x:c r="C183" s="11" t="str">
        <x:v>日</x:v>
      </x:c>
      <x:c r="D183" s="11" t="str">
        <x:v>SC-2607</x:v>
      </x:c>
      <x:c r="E183" s="11" t="str">
        <x:v>Phase-26 工单辅助</x:v>
      </x:c>
      <x:c r="F183" s="11" t="str">
        <x:v>Should</x:v>
      </x:c>
      <x:c r="G183" s="11" t="str">
        <x:v>缓冲/回归</x:v>
      </x:c>
      <x:c r="H183" s="11" t="str">
        <x:v>端到端AI售后演示：RAG回答→用户申请工单→AI生成草稿→人工审核；保存评测结果</x:v>
      </x:c>
      <x:c r="I183" s="11" t="str">
        <x:v>docs/demo/ai-support-flow.md</x:v>
      </x:c>
      <x:c r="J183" s="11" t="str">
        <x:v>演示能重放、失败能降级，真人确认点清楚</x:v>
      </x:c>
      <x:c r="K183" s="11" t="str">
        <x:v>AI服务故障</x:v>
      </x:c>
      <x:c r="L183" s="11" t="str">
        <x:v>不要仅展示一次“漂亮回答”</x:v>
      </x:c>
      <x:c r="M183" s="14" t="n">
        <x:v>0.5</x:v>
      </x:c>
      <x:c r="N183" s="16"/>
      <x:c r="O183" s="17" t="str">
        <x:v>未开始</x:v>
      </x:c>
      <x:c r="P183" s="17" t="str">
        <x:v>待验收</x:v>
      </x:c>
      <x:c r="Q183" s="17"/>
      <x:c r="R183" s="17"/>
      <x:c r="S183" s="11" t="str">
        <x:f>IF(AND(O183="已完成",P183="通过",LEN(Q183)&gt;0,LEN(R183)&gt;0),"可计入",IF(O183="已取消","已取消","待证据"))</x:f>
        <x:v>待证据</x:v>
      </x:c>
      <x:c r="T183" s="11"/>
      <x:c r="U183" s="11"/>
      <x:c r="V183" s="11"/>
      <x:c r="W183" s="11" t="str">
        <x:v>周复盘+证据归档</x:v>
      </x:c>
    </x:row>
    <x:row r="184" ht="45" customHeight="1">
      <x:c r="A184" s="11" t="n">
        <x:v>27</x:v>
      </x:c>
      <x:c r="B184" s="11" t="str">
        <x:v>2027-05-03</x:v>
      </x:c>
      <x:c r="C184" s="11" t="str">
        <x:v>一</x:v>
      </x:c>
      <x:c r="D184" s="11" t="str">
        <x:v>SC-2701</x:v>
      </x:c>
      <x:c r="E184" s="11" t="str">
        <x:v>Phase-27 MCP与接口治理</x:v>
      </x:c>
      <x:c r="F184" s="11" t="str">
        <x:v>Should</x:v>
      </x:c>
      <x:c r="G184" s="11" t="str">
        <x:v>设计/合同</x:v>
      </x:c>
      <x:c r="H184" s="11" t="str">
        <x:v>将MCP改为选修设计评审：比较Spring AI内嵌Tool与外部MCP服务风险及收益</x:v>
      </x:c>
      <x:c r="I184" s="11" t="str">
        <x:v>docs/adr/mcp-go-no-go.md</x:v>
      </x:c>
      <x:c r="J184" s="11" t="str">
        <x:v>列出采用/放弃的判断标准和测试成本</x:v>
      </x:c>
      <x:c r="K184" s="11" t="str">
        <x:v>AI服务故障</x:v>
      </x:c>
      <x:c r="L184" s="11" t="str">
        <x:v>MCP不是必需验收目标</x:v>
      </x:c>
      <x:c r="M184" s="14" t="n">
        <x:v>1.5</x:v>
      </x:c>
      <x:c r="N184" s="16"/>
      <x:c r="O184" s="17" t="str">
        <x:v>未开始</x:v>
      </x:c>
      <x:c r="P184" s="17" t="str">
        <x:v>待验收</x:v>
      </x:c>
      <x:c r="Q184" s="17"/>
      <x:c r="R184" s="17"/>
      <x:c r="S184" s="11" t="str">
        <x:f>IF(AND(O184="已完成",P184="通过",LEN(Q184)&gt;0,LEN(R184)&gt;0),"可计入",IF(O184="已取消","已取消","待证据"))</x:f>
        <x:v>待证据</x:v>
      </x:c>
      <x:c r="T184" s="11"/>
      <x:c r="U184" s="11"/>
      <x:c r="V184" s="11"/>
      <x:c r="W184" s="11" t="str">
        <x:v>算法：DP入门</x:v>
      </x:c>
    </x:row>
    <x:row r="185" ht="45" customHeight="1">
      <x:c r="A185" s="11" t="n">
        <x:v>27</x:v>
      </x:c>
      <x:c r="B185" s="11" t="str">
        <x:v>2027-05-04</x:v>
      </x:c>
      <x:c r="C185" s="11" t="str">
        <x:v>二</x:v>
      </x:c>
      <x:c r="D185" s="11" t="str">
        <x:v>SC-2702</x:v>
      </x:c>
      <x:c r="E185" s="11" t="str">
        <x:v>Phase-27 MCP与接口治理</x:v>
      </x:c>
      <x:c r="F185" s="11" t="str">
        <x:v>Should</x:v>
      </x:c>
      <x:c r="G185" s="11" t="str">
        <x:v>开发/验证</x:v>
      </x:c>
      <x:c r="H185" s="11" t="str">
        <x:v>将当周核心改为Tool schema治理：为orderId入参、失败码、权限和版本建立合同</x:v>
      </x:c>
      <x:c r="I185" s="11" t="str">
        <x:v>docs/ai/tools/contract-v1.md</x:v>
      </x:c>
      <x:c r="J185" s="11" t="str">
        <x:v>版本变化会触发合同测试失败</x:v>
      </x:c>
      <x:c r="K185" s="11" t="str">
        <x:v>AI服务故障</x:v>
      </x:c>
      <x:c r="L185" s="11" t="str">
        <x:v>不需要新增模型代理框架</x:v>
      </x:c>
      <x:c r="M185" s="14" t="n">
        <x:v>1.5</x:v>
      </x:c>
      <x:c r="N185" s="16"/>
      <x:c r="O185" s="17" t="str">
        <x:v>未开始</x:v>
      </x:c>
      <x:c r="P185" s="17" t="str">
        <x:v>待验收</x:v>
      </x:c>
      <x:c r="Q185" s="17"/>
      <x:c r="R185" s="17"/>
      <x:c r="S185" s="11" t="str">
        <x:f>IF(AND(O185="已完成",P185="通过",LEN(Q185)&gt;0,LEN(R185)&gt;0),"可计入",IF(O185="已取消","已取消","待证据"))</x:f>
        <x:v>待证据</x:v>
      </x:c>
      <x:c r="T185" s="11"/>
      <x:c r="U185" s="11"/>
      <x:c r="V185" s="11"/>
      <x:c r="W185" s="11" t="str">
        <x:v>基础：接口兼容性、模块依赖</x:v>
      </x:c>
    </x:row>
    <x:row r="186" ht="45" customHeight="1">
      <x:c r="A186" s="11" t="n">
        <x:v>27</x:v>
      </x:c>
      <x:c r="B186" s="11" t="str">
        <x:v>2027-05-05</x:v>
      </x:c>
      <x:c r="C186" s="11" t="str">
        <x:v>三</x:v>
      </x:c>
      <x:c r="D186" s="11" t="str">
        <x:v>SC-2703</x:v>
      </x:c>
      <x:c r="E186" s="11" t="str">
        <x:v>Phase-27 MCP与接口治理</x:v>
      </x:c>
      <x:c r="F186" s="11" t="str">
        <x:v>Could</x:v>
      </x:c>
      <x:c r="G186" s="11" t="str">
        <x:v>开发/验证</x:v>
      </x:c>
      <x:c r="H186" s="11" t="str">
        <x:v>【可选】隔离dev环境演示MCP只读Tool；如果实习忙则执行Tool安全回归替代</x:v>
      </x:c>
      <x:c r="I186" s="11" t="str">
        <x:v>docs/ai/mcp-spike.md 或 ToolSecurityIT</x:v>
      </x:c>
      <x:c r="J186" s="11" t="str">
        <x:v>不得开放写订单/退款工具；未做标记延期/取消</x:v>
      </x:c>
      <x:c r="K186" s="11" t="str">
        <x:v>AI服务故障</x:v>
      </x:c>
      <x:c r="L186" s="11" t="str">
        <x:v>P2不阻塞项目发布</x:v>
      </x:c>
      <x:c r="M186" s="14" t="n">
        <x:v>1.5</x:v>
      </x:c>
      <x:c r="N186" s="16"/>
      <x:c r="O186" s="17" t="str">
        <x:v>未开始</x:v>
      </x:c>
      <x:c r="P186" s="17" t="str">
        <x:v>待验收</x:v>
      </x:c>
      <x:c r="Q186" s="17"/>
      <x:c r="R186" s="17"/>
      <x:c r="S186" s="11" t="str">
        <x:f>IF(AND(O186="已完成",P186="通过",LEN(Q186)&gt;0,LEN(R186)&gt;0),"可计入",IF(O186="已取消","已取消","待证据"))</x:f>
        <x:v>待证据</x:v>
      </x:c>
      <x:c r="T186" s="11"/>
      <x:c r="U186" s="11"/>
      <x:c r="V186" s="11"/>
      <x:c r="W186" s="11" t="str">
        <x:v>算法：DP入门</x:v>
      </x:c>
    </x:row>
    <x:row r="187" ht="45" customHeight="1">
      <x:c r="A187" s="11" t="n">
        <x:v>27</x:v>
      </x:c>
      <x:c r="B187" s="11" t="str">
        <x:v>2027-05-06</x:v>
      </x:c>
      <x:c r="C187" s="11" t="str">
        <x:v>四</x:v>
      </x:c>
      <x:c r="D187" s="11" t="str">
        <x:v>SC-2704</x:v>
      </x:c>
      <x:c r="E187" s="11" t="str">
        <x:v>Phase-27 MCP与接口治理</x:v>
      </x:c>
      <x:c r="F187" s="11" t="str">
        <x:v>Must</x:v>
      </x:c>
      <x:c r="G187" s="11" t="str">
        <x:v>开发/验证</x:v>
      </x:c>
      <x:c r="H187" s="11" t="str">
        <x:v>集中治理现有工具：超时/错误码/预算/只读权限与参数校验</x:v>
      </x:c>
      <x:c r="I187" s="11" t="str">
        <x:v>ToolInvocationBudgetTest + docs/ai/tools/policy.md</x:v>
      </x:c>
      <x:c r="J187" s="11" t="str">
        <x:v>异常输入可控且不会触发重复业务写入</x:v>
      </x:c>
      <x:c r="K187" s="11" t="str">
        <x:v>AI服务故障</x:v>
      </x:c>
      <x:c r="L187" s="11" t="str">
        <x:v>必须完成，优先于MCP</x:v>
      </x:c>
      <x:c r="M187" s="14" t="n">
        <x:v>1.5</x:v>
      </x:c>
      <x:c r="N187" s="16"/>
      <x:c r="O187" s="17" t="str">
        <x:v>未开始</x:v>
      </x:c>
      <x:c r="P187" s="17" t="str">
        <x:v>待验收</x:v>
      </x:c>
      <x:c r="Q187" s="17"/>
      <x:c r="R187" s="17"/>
      <x:c r="S187" s="11" t="str">
        <x:f>IF(AND(O187="已完成",P187="通过",LEN(Q187)&gt;0,LEN(R187)&gt;0),"可计入",IF(O187="已取消","已取消","待证据"))</x:f>
        <x:v>待证据</x:v>
      </x:c>
      <x:c r="T187" s="11"/>
      <x:c r="U187" s="11"/>
      <x:c r="V187" s="11"/>
      <x:c r="W187" s="11" t="str">
        <x:v>基础：接口兼容性、模块依赖</x:v>
      </x:c>
    </x:row>
    <x:row r="188" ht="45" customHeight="1">
      <x:c r="A188" s="11" t="n">
        <x:v>27</x:v>
      </x:c>
      <x:c r="B188" s="11" t="str">
        <x:v>2027-05-07</x:v>
      </x:c>
      <x:c r="C188" s="11" t="str">
        <x:v>五</x:v>
      </x:c>
      <x:c r="D188" s="11" t="str">
        <x:v>SC-2705</x:v>
      </x:c>
      <x:c r="E188" s="11" t="str">
        <x:v>Phase-27 MCP与接口治理</x:v>
      </x:c>
      <x:c r="F188" s="11" t="str">
        <x:v>Must</x:v>
      </x:c>
      <x:c r="G188" s="11" t="str">
        <x:v>开发/验证</x:v>
      </x:c>
      <x:c r="H188" s="11" t="str">
        <x:v>测试Tool schema的前后兼容和错误返回，模拟模型生成非法字段</x:v>
      </x:c>
      <x:c r="I188" s="11" t="str">
        <x:v>ToolSchemaCompatibilityIT</x:v>
      </x:c>
      <x:c r="J188" s="11" t="str">
        <x:v>新增可选字段不破坏旧测试，非法字段有安全处理</x:v>
      </x:c>
      <x:c r="K188" s="11" t="str">
        <x:v>AI服务故障</x:v>
      </x:c>
      <x:c r="L188" s="11" t="str">
        <x:v>优先保障兼容而不是堆功能</x:v>
      </x:c>
      <x:c r="M188" s="14" t="n">
        <x:v>1</x:v>
      </x:c>
      <x:c r="N188" s="16"/>
      <x:c r="O188" s="17" t="str">
        <x:v>未开始</x:v>
      </x:c>
      <x:c r="P188" s="17" t="str">
        <x:v>待验收</x:v>
      </x:c>
      <x:c r="Q188" s="17"/>
      <x:c r="R188" s="17"/>
      <x:c r="S188" s="11" t="str">
        <x:f>IF(AND(O188="已完成",P188="通过",LEN(Q188)&gt;0,LEN(R188)&gt;0),"可计入",IF(O188="已取消","已取消","待证据"))</x:f>
        <x:v>待证据</x:v>
      </x:c>
      <x:c r="T188" s="11"/>
      <x:c r="U188" s="11"/>
      <x:c r="V188" s="11"/>
      <x:c r="W188" s="11" t="str">
        <x:v>算法：DP入门</x:v>
      </x:c>
    </x:row>
    <x:row r="189" ht="45" customHeight="1">
      <x:c r="A189" s="11" t="n">
        <x:v>27</x:v>
      </x:c>
      <x:c r="B189" s="11" t="str">
        <x:v>2027-05-08</x:v>
      </x:c>
      <x:c r="C189" s="11" t="str">
        <x:v>六</x:v>
      </x:c>
      <x:c r="D189" s="11" t="str">
        <x:v>SC-2706</x:v>
      </x:c>
      <x:c r="E189" s="11" t="str">
        <x:v>Phase-27 MCP与接口治理</x:v>
      </x:c>
      <x:c r="F189" s="11" t="str">
        <x:v>Should</x:v>
      </x:c>
      <x:c r="G189" s="11" t="str">
        <x:v>开发/验证</x:v>
      </x:c>
      <x:c r="H189" s="11" t="str">
        <x:v>在FakeProvider环境切换模型策略，核验查单工具调用一致性；真模型选做</x:v>
      </x:c>
      <x:c r="I189" s="11" t="str">
        <x:v>eval/model-compatibility.csv</x:v>
      </x:c>
      <x:c r="J189" s="11" t="str">
        <x:v>记录模型ID、测试次数、通过率，失败可复现</x:v>
      </x:c>
      <x:c r="K189" s="11" t="str">
        <x:v>AI服务故障</x:v>
      </x:c>
      <x:c r="L189" s="11" t="str">
        <x:v>预算优先，小成本对照</x:v>
      </x:c>
      <x:c r="M189" s="14" t="n">
        <x:v>2.5</x:v>
      </x:c>
      <x:c r="N189" s="16"/>
      <x:c r="O189" s="17" t="str">
        <x:v>未开始</x:v>
      </x:c>
      <x:c r="P189" s="17" t="str">
        <x:v>待验收</x:v>
      </x:c>
      <x:c r="Q189" s="17"/>
      <x:c r="R189" s="17"/>
      <x:c r="S189" s="11" t="str">
        <x:f>IF(AND(O189="已完成",P189="通过",LEN(Q189)&gt;0,LEN(R189)&gt;0),"可计入",IF(O189="已取消","已取消","待证据"))</x:f>
        <x:v>待证据</x:v>
      </x:c>
      <x:c r="T189" s="11"/>
      <x:c r="U189" s="11"/>
      <x:c r="V189" s="11"/>
      <x:c r="W189" s="11" t="str">
        <x:v>求职/返工缓冲或补测试</x:v>
      </x:c>
    </x:row>
    <x:row r="190" ht="45" customHeight="1">
      <x:c r="A190" s="11" t="n">
        <x:v>27</x:v>
      </x:c>
      <x:c r="B190" s="11" t="str">
        <x:v>2027-05-09</x:v>
      </x:c>
      <x:c r="C190" s="11" t="str">
        <x:v>日</x:v>
      </x:c>
      <x:c r="D190" s="11" t="str">
        <x:v>SC-2707</x:v>
      </x:c>
      <x:c r="E190" s="11" t="str">
        <x:v>Phase-27 MCP与接口治理</x:v>
      </x:c>
      <x:c r="F190" s="11" t="str">
        <x:v>Should</x:v>
      </x:c>
      <x:c r="G190" s="11" t="str">
        <x:v>缓冲/回归</x:v>
      </x:c>
      <x:c r="H190" s="11" t="str">
        <x:v>周缓冲/冻结：清除AI模块未完成P0，若时间紧直接删除MCP实验代码</x:v>
      </x:c>
      <x:c r="I190" s="11" t="str">
        <x:v>docs/reviews/week27.md</x:v>
      </x:c>
      <x:c r="J190" s="11" t="str">
        <x:v>主线CI不依赖可选MCP，核心接口稳定</x:v>
      </x:c>
      <x:c r="K190" s="11" t="str">
        <x:v>AI服务故障</x:v>
      </x:c>
      <x:c r="L190" s="11" t="str">
        <x:v>本周不增加新的Agent框架</x:v>
      </x:c>
      <x:c r="M190" s="14" t="n">
        <x:v>0.5</x:v>
      </x:c>
      <x:c r="N190" s="16"/>
      <x:c r="O190" s="17" t="str">
        <x:v>未开始</x:v>
      </x:c>
      <x:c r="P190" s="17" t="str">
        <x:v>待验收</x:v>
      </x:c>
      <x:c r="Q190" s="17"/>
      <x:c r="R190" s="17"/>
      <x:c r="S190" s="11" t="str">
        <x:f>IF(AND(O190="已完成",P190="通过",LEN(Q190)&gt;0,LEN(R190)&gt;0),"可计入",IF(O190="已取消","已取消","待证据"))</x:f>
        <x:v>待证据</x:v>
      </x:c>
      <x:c r="T190" s="11"/>
      <x:c r="U190" s="11"/>
      <x:c r="V190" s="11"/>
      <x:c r="W190" s="11" t="str">
        <x:v>周复盘+证据归档</x:v>
      </x:c>
    </x:row>
    <x:row r="191" ht="45" customHeight="1">
      <x:c r="A191" s="11" t="n">
        <x:v>28</x:v>
      </x:c>
      <x:c r="B191" s="11" t="str">
        <x:v>2027-05-10</x:v>
      </x:c>
      <x:c r="C191" s="11" t="str">
        <x:v>一</x:v>
      </x:c>
      <x:c r="D191" s="11" t="str">
        <x:v>SC-2801</x:v>
      </x:c>
      <x:c r="E191" s="11" t="str">
        <x:v>Phase-28 性能优化</x:v>
      </x:c>
      <x:c r="F191" s="11" t="str">
        <x:v>Must</x:v>
      </x:c>
      <x:c r="G191" s="11" t="str">
        <x:v>设计/合同</x:v>
      </x:c>
      <x:c r="H191" s="11" t="str">
        <x:v>确定三条压测场景及测试机资源上限，建立基线</x:v>
      </x:c>
      <x:c r="I191" s="11" t="str">
        <x:v>bench/test-plan.md</x:v>
      </x:c>
      <x:c r="J191" s="11" t="str">
        <x:v>写明并发、数据量、环境和退出条件</x:v>
      </x:c>
      <x:c r="K191" s="11" t="str">
        <x:v>接口异常/数据边界</x:v>
      </x:c>
      <x:c r="L191" s="11" t="str">
        <x:v>核心路径先独立设计与实现；AI仅提示/审查，提交前能口述原理。</x:v>
      </x:c>
      <x:c r="M191" s="14" t="n">
        <x:v>1.5</x:v>
      </x:c>
      <x:c r="N191" s="16"/>
      <x:c r="O191" s="17" t="str">
        <x:v>未开始</x:v>
      </x:c>
      <x:c r="P191" s="17" t="str">
        <x:v>待验收</x:v>
      </x:c>
      <x:c r="Q191" s="17"/>
      <x:c r="R191" s="17"/>
      <x:c r="S191" s="11" t="str">
        <x:f>IF(AND(O191="已完成",P191="通过",LEN(Q191)&gt;0,LEN(R191)&gt;0),"可计入",IF(O191="已取消","已取消","待证据"))</x:f>
        <x:v>待证据</x:v>
      </x:c>
      <x:c r="T191" s="11"/>
      <x:c r="U191" s="11"/>
      <x:c r="V191" s="11"/>
      <x:c r="W191" s="11" t="str">
        <x:v>算法：二分/前缀和</x:v>
      </x:c>
    </x:row>
    <x:row r="192" ht="45" customHeight="1">
      <x:c r="A192" s="11" t="n">
        <x:v>28</x:v>
      </x:c>
      <x:c r="B192" s="11" t="str">
        <x:v>2027-05-11</x:v>
      </x:c>
      <x:c r="C192" s="11" t="str">
        <x:v>二</x:v>
      </x:c>
      <x:c r="D192" s="11" t="str">
        <x:v>SC-2802</x:v>
      </x:c>
      <x:c r="E192" s="11" t="str">
        <x:v>Phase-28 性能优化</x:v>
      </x:c>
      <x:c r="F192" s="11" t="str">
        <x:v>Must</x:v>
      </x:c>
      <x:c r="G192" s="11" t="str">
        <x:v>开发/验证</x:v>
      </x:c>
      <x:c r="H192" s="11" t="str">
        <x:v>为商品查询和下单准备可重复的测试数据脚本</x:v>
      </x:c>
      <x:c r="I192" s="11" t="str">
        <x:v>scripts/seed-load-data.sh</x:v>
      </x:c>
      <x:c r="J192" s="11" t="str">
        <x:v>重复执行可清理/重新生成测试数据</x:v>
      </x:c>
      <x:c r="K192" s="11" t="str">
        <x:v>接口异常/数据边界</x:v>
      </x:c>
      <x:c r="L192" s="11" t="str">
        <x:v>核心路径先独立设计与实现；AI仅提示/审查，提交前能口述原理。</x:v>
      </x:c>
      <x:c r="M192" s="14" t="n">
        <x:v>1.5</x:v>
      </x:c>
      <x:c r="N192" s="16"/>
      <x:c r="O192" s="17" t="str">
        <x:v>未开始</x:v>
      </x:c>
      <x:c r="P192" s="17" t="str">
        <x:v>待验收</x:v>
      </x:c>
      <x:c r="Q192" s="17"/>
      <x:c r="R192" s="17"/>
      <x:c r="S192" s="11" t="str">
        <x:f>IF(AND(O192="已完成",P192="通过",LEN(Q192)&gt;0,LEN(R192)&gt;0),"可计入",IF(O192="已取消","已取消","待证据"))</x:f>
        <x:v>待证据</x:v>
      </x:c>
      <x:c r="T192" s="11"/>
      <x:c r="U192" s="11"/>
      <x:c r="V192" s="11"/>
      <x:c r="W192" s="11" t="str">
        <x:v>基础：JVM内存/GC/SQL执行计划</x:v>
      </x:c>
    </x:row>
    <x:row r="193" ht="45" customHeight="1">
      <x:c r="A193" s="11" t="n">
        <x:v>28</x:v>
      </x:c>
      <x:c r="B193" s="11" t="str">
        <x:v>2027-05-12</x:v>
      </x:c>
      <x:c r="C193" s="11" t="str">
        <x:v>三</x:v>
      </x:c>
      <x:c r="D193" s="11" t="str">
        <x:v>SC-2803</x:v>
      </x:c>
      <x:c r="E193" s="11" t="str">
        <x:v>Phase-28 性能优化</x:v>
      </x:c>
      <x:c r="F193" s="11" t="str">
        <x:v>Must</x:v>
      </x:c>
      <x:c r="G193" s="11" t="str">
        <x:v>开发/验证</x:v>
      </x:c>
      <x:c r="H193" s="11" t="str">
        <x:v>压测商品分页，记录p50/p95/错误率，定位N+1查询</x:v>
      </x:c>
      <x:c r="I193" s="11" t="str">
        <x:v>bench/catalog-before.csv</x:v>
      </x:c>
      <x:c r="J193" s="11" t="str">
        <x:v>含采样数量与真实环境配置</x:v>
      </x:c>
      <x:c r="K193" s="11" t="str">
        <x:v>接口异常/数据边界</x:v>
      </x:c>
      <x:c r="L193" s="11" t="str">
        <x:v>核心路径先独立设计与实现；AI仅提示/审查，提交前能口述原理。</x:v>
      </x:c>
      <x:c r="M193" s="14" t="n">
        <x:v>1.5</x:v>
      </x:c>
      <x:c r="N193" s="16"/>
      <x:c r="O193" s="17" t="str">
        <x:v>未开始</x:v>
      </x:c>
      <x:c r="P193" s="17" t="str">
        <x:v>待验收</x:v>
      </x:c>
      <x:c r="Q193" s="17"/>
      <x:c r="R193" s="17"/>
      <x:c r="S193" s="11" t="str">
        <x:f>IF(AND(O193="已完成",P193="通过",LEN(Q193)&gt;0,LEN(R193)&gt;0),"可计入",IF(O193="已取消","已取消","待证据"))</x:f>
        <x:v>待证据</x:v>
      </x:c>
      <x:c r="T193" s="11"/>
      <x:c r="U193" s="11"/>
      <x:c r="V193" s="11"/>
      <x:c r="W193" s="11" t="str">
        <x:v>算法：二分/前缀和</x:v>
      </x:c>
    </x:row>
    <x:row r="194" ht="45" customHeight="1">
      <x:c r="A194" s="11" t="n">
        <x:v>28</x:v>
      </x:c>
      <x:c r="B194" s="11" t="str">
        <x:v>2027-05-13</x:v>
      </x:c>
      <x:c r="C194" s="11" t="str">
        <x:v>四</x:v>
      </x:c>
      <x:c r="D194" s="11" t="str">
        <x:v>SC-2804</x:v>
      </x:c>
      <x:c r="E194" s="11" t="str">
        <x:v>Phase-28 性能优化</x:v>
      </x:c>
      <x:c r="F194" s="11" t="str">
        <x:v>Must</x:v>
      </x:c>
      <x:c r="G194" s="11" t="str">
        <x:v>开发/验证</x:v>
      </x:c>
      <x:c r="H194" s="11" t="str">
        <x:v>以EXPLAIN ANALYZE/执行计划验证索引优化，同一数据量和压测环境对照</x:v>
      </x:c>
      <x:c r="I194" s="11" t="str">
        <x:v>docs/perf/sql-before-after.md</x:v>
      </x:c>
      <x:c r="J194" s="11" t="str">
        <x:v>有SQL、索引、样本量、p95和副作用说明</x:v>
      </x:c>
      <x:c r="K194" s="11" t="str">
        <x:v>接口异常/数据边界</x:v>
      </x:c>
      <x:c r="L194" s="11" t="str">
        <x:v>数据不足时不宣称性能提升</x:v>
      </x:c>
      <x:c r="M194" s="14" t="n">
        <x:v>1.5</x:v>
      </x:c>
      <x:c r="N194" s="16"/>
      <x:c r="O194" s="17" t="str">
        <x:v>未开始</x:v>
      </x:c>
      <x:c r="P194" s="17" t="str">
        <x:v>待验收</x:v>
      </x:c>
      <x:c r="Q194" s="17"/>
      <x:c r="R194" s="17"/>
      <x:c r="S194" s="11" t="str">
        <x:f>IF(AND(O194="已完成",P194="通过",LEN(Q194)&gt;0,LEN(R194)&gt;0),"可计入",IF(O194="已取消","已取消","待证据"))</x:f>
        <x:v>待证据</x:v>
      </x:c>
      <x:c r="T194" s="11"/>
      <x:c r="U194" s="11"/>
      <x:c r="V194" s="11"/>
      <x:c r="W194" s="11" t="str">
        <x:v>基础：JVM内存/GC/SQL执行计划</x:v>
      </x:c>
    </x:row>
    <x:row r="195" ht="45" customHeight="1">
      <x:c r="A195" s="11" t="n">
        <x:v>28</x:v>
      </x:c>
      <x:c r="B195" s="11" t="str">
        <x:v>2027-05-14</x:v>
      </x:c>
      <x:c r="C195" s="11" t="str">
        <x:v>五</x:v>
      </x:c>
      <x:c r="D195" s="11" t="str">
        <x:v>SC-2805</x:v>
      </x:c>
      <x:c r="E195" s="11" t="str">
        <x:v>Phase-28 性能优化</x:v>
      </x:c>
      <x:c r="F195" s="11" t="str">
        <x:v>Must</x:v>
      </x:c>
      <x:c r="G195" s="11" t="str">
        <x:v>开发/验证</x:v>
      </x:c>
      <x:c r="H195" s="11" t="str">
        <x:v>压测下单库存竞争，重点验证正确性和延迟</x:v>
      </x:c>
      <x:c r="I195" s="11" t="str">
        <x:v>bench/order-contention.csv</x:v>
      </x:c>
      <x:c r="J195" s="11" t="str">
        <x:v>超卖为0，错误有可解释分类</x:v>
      </x:c>
      <x:c r="K195" s="11" t="str">
        <x:v>接口异常/数据边界</x:v>
      </x:c>
      <x:c r="L195" s="11" t="str">
        <x:v>独立验收时使用L0/L1；AI只在验收后做复盘。</x:v>
      </x:c>
      <x:c r="M195" s="14" t="n">
        <x:v>1</x:v>
      </x:c>
      <x:c r="N195" s="16"/>
      <x:c r="O195" s="17" t="str">
        <x:v>未开始</x:v>
      </x:c>
      <x:c r="P195" s="17" t="str">
        <x:v>待验收</x:v>
      </x:c>
      <x:c r="Q195" s="17"/>
      <x:c r="R195" s="17"/>
      <x:c r="S195" s="11" t="str">
        <x:f>IF(AND(O195="已完成",P195="通过",LEN(Q195)&gt;0,LEN(R195)&gt;0),"可计入",IF(O195="已取消","已取消","待证据"))</x:f>
        <x:v>待证据</x:v>
      </x:c>
      <x:c r="T195" s="11"/>
      <x:c r="U195" s="11"/>
      <x:c r="V195" s="11"/>
      <x:c r="W195" s="11" t="str">
        <x:v>算法：二分/前缀和</x:v>
      </x:c>
    </x:row>
    <x:row r="196" ht="45" customHeight="1">
      <x:c r="A196" s="11" t="n">
        <x:v>28</x:v>
      </x:c>
      <x:c r="B196" s="11" t="str">
        <x:v>2027-05-15</x:v>
      </x:c>
      <x:c r="C196" s="11" t="str">
        <x:v>六</x:v>
      </x:c>
      <x:c r="D196" s="11" t="str">
        <x:v>SC-2806</x:v>
      </x:c>
      <x:c r="E196" s="11" t="str">
        <x:v>Phase-28 性能优化</x:v>
      </x:c>
      <x:c r="F196" s="11" t="str">
        <x:v>Must</x:v>
      </x:c>
      <x:c r="G196" s="11" t="str">
        <x:v>开发/验证</x:v>
      </x:c>
      <x:c r="H196" s="11" t="str">
        <x:v>检查JVM内存/GC/线程池和数据库连接池，调整一项参数</x:v>
      </x:c>
      <x:c r="I196" s="11" t="str">
        <x:v>docs/perf/runtime-tuning.md</x:v>
      </x:c>
      <x:c r="J196" s="11" t="str">
        <x:v>只调整一项并有前后对比</x:v>
      </x:c>
      <x:c r="K196" s="11" t="str">
        <x:v>接口异常/数据边界</x:v>
      </x:c>
      <x:c r="L196" s="11" t="str">
        <x:v>核心路径先独立设计与实现；AI仅提示/审查，提交前能口述原理。</x:v>
      </x:c>
      <x:c r="M196" s="14" t="n">
        <x:v>2.5</x:v>
      </x:c>
      <x:c r="N196" s="16"/>
      <x:c r="O196" s="17" t="str">
        <x:v>未开始</x:v>
      </x:c>
      <x:c r="P196" s="17" t="str">
        <x:v>待验收</x:v>
      </x:c>
      <x:c r="Q196" s="17"/>
      <x:c r="R196" s="17"/>
      <x:c r="S196" s="11" t="str">
        <x:f>IF(AND(O196="已完成",P196="通过",LEN(Q196)&gt;0,LEN(R196)&gt;0),"可计入",IF(O196="已取消","已取消","待证据"))</x:f>
        <x:v>待证据</x:v>
      </x:c>
      <x:c r="T196" s="11"/>
      <x:c r="U196" s="11"/>
      <x:c r="V196" s="11"/>
      <x:c r="W196" s="11" t="str">
        <x:v>求职/返工缓冲或补测试</x:v>
      </x:c>
    </x:row>
    <x:row r="197" ht="45" customHeight="1">
      <x:c r="A197" s="11" t="n">
        <x:v>28</x:v>
      </x:c>
      <x:c r="B197" s="11" t="str">
        <x:v>2027-05-16</x:v>
      </x:c>
      <x:c r="C197" s="11" t="str">
        <x:v>日</x:v>
      </x:c>
      <x:c r="D197" s="11" t="str">
        <x:v>SC-2807</x:v>
      </x:c>
      <x:c r="E197" s="11" t="str">
        <x:v>Phase-28 性能优化</x:v>
      </x:c>
      <x:c r="F197" s="11" t="str">
        <x:v>Must</x:v>
      </x:c>
      <x:c r="G197" s="11" t="str">
        <x:v>缓冲/回归</x:v>
      </x:c>
      <x:c r="H197" s="11" t="str">
        <x:v>周缓冲：汇总压测报告，未解决瓶颈改为后续Issue</x:v>
      </x:c>
      <x:c r="I197" s="11" t="str">
        <x:v>docs/perf/report-v1.md</x:v>
      </x:c>
      <x:c r="J197" s="11" t="str">
        <x:v>可复现实验，不对比不同硬件数据</x:v>
      </x:c>
      <x:c r="K197" s="11" t="str">
        <x:v>接口异常/数据边界</x:v>
      </x:c>
      <x:c r="L197" s="11" t="str">
        <x:v>核心路径先独立设计与实现；AI仅提示/审查，提交前能口述原理。</x:v>
      </x:c>
      <x:c r="M197" s="14" t="n">
        <x:v>0.5</x:v>
      </x:c>
      <x:c r="N197" s="16"/>
      <x:c r="O197" s="17" t="str">
        <x:v>未开始</x:v>
      </x:c>
      <x:c r="P197" s="17" t="str">
        <x:v>待验收</x:v>
      </x:c>
      <x:c r="Q197" s="17"/>
      <x:c r="R197" s="17"/>
      <x:c r="S197" s="11" t="str">
        <x:f>IF(AND(O197="已完成",P197="通过",LEN(Q197)&gt;0,LEN(R197)&gt;0),"可计入",IF(O197="已取消","已取消","待证据"))</x:f>
        <x:v>待证据</x:v>
      </x:c>
      <x:c r="T197" s="11"/>
      <x:c r="U197" s="11"/>
      <x:c r="V197" s="11"/>
      <x:c r="W197" s="11" t="str">
        <x:v>周复盘+证据归档</x:v>
      </x:c>
    </x:row>
    <x:row r="198" ht="45" customHeight="1">
      <x:c r="A198" s="11" t="n">
        <x:v>29</x:v>
      </x:c>
      <x:c r="B198" s="11" t="str">
        <x:v>2027-05-17</x:v>
      </x:c>
      <x:c r="C198" s="11" t="str">
        <x:v>一</x:v>
      </x:c>
      <x:c r="D198" s="11" t="str">
        <x:v>SC-2901</x:v>
      </x:c>
      <x:c r="E198" s="11" t="str">
        <x:v>Phase-29 故障注入</x:v>
      </x:c>
      <x:c r="F198" s="11" t="str">
        <x:v>Must</x:v>
      </x:c>
      <x:c r="G198" s="11" t="str">
        <x:v>设计/合同</x:v>
      </x:c>
      <x:c r="H198" s="11" t="str">
        <x:v>设计故障演练清单：数据库慢、缓存断、MQ断、AI服务故障</x:v>
      </x:c>
      <x:c r="I198" s="11" t="str">
        <x:v>docs/faults/game-day-plan.md</x:v>
      </x:c>
      <x:c r="J198" s="11" t="str">
        <x:v>每项定义安全边界与恢复步骤</x:v>
      </x:c>
      <x:c r="K198" s="11" t="str">
        <x:v>发布与故障恢复</x:v>
      </x:c>
      <x:c r="L198" s="11" t="str">
        <x:v>核心路径先独立设计与实现；AI仅提示/审查，提交前能口述原理。</x:v>
      </x:c>
      <x:c r="M198" s="14" t="n">
        <x:v>1.5</x:v>
      </x:c>
      <x:c r="N198" s="16"/>
      <x:c r="O198" s="17" t="str">
        <x:v>未开始</x:v>
      </x:c>
      <x:c r="P198" s="17" t="str">
        <x:v>待验收</x:v>
      </x:c>
      <x:c r="Q198" s="17"/>
      <x:c r="R198" s="17"/>
      <x:c r="S198" s="11" t="str">
        <x:f>IF(AND(O198="已完成",P198="通过",LEN(Q198)&gt;0,LEN(R198)&gt;0),"可计入",IF(O198="已取消","已取消","待证据"))</x:f>
        <x:v>待证据</x:v>
      </x:c>
      <x:c r="T198" s="11"/>
      <x:c r="U198" s="11"/>
      <x:c r="V198" s="11"/>
      <x:c r="W198" s="11" t="str">
        <x:v>算法：图/DFS</x:v>
      </x:c>
    </x:row>
    <x:row r="199" ht="45" customHeight="1">
      <x:c r="A199" s="11" t="n">
        <x:v>29</x:v>
      </x:c>
      <x:c r="B199" s="11" t="str">
        <x:v>2027-05-18</x:v>
      </x:c>
      <x:c r="C199" s="11" t="str">
        <x:v>二</x:v>
      </x:c>
      <x:c r="D199" s="11" t="str">
        <x:v>SC-2902</x:v>
      </x:c>
      <x:c r="E199" s="11" t="str">
        <x:v>Phase-29 故障注入</x:v>
      </x:c>
      <x:c r="F199" s="11" t="str">
        <x:v>Must</x:v>
      </x:c>
      <x:c r="G199" s="11" t="str">
        <x:v>开发/验证</x:v>
      </x:c>
      <x:c r="H199" s="11" t="str">
        <x:v>故意停MySQL观察业务失败与连接池恢复</x:v>
      </x:c>
      <x:c r="I199" s="11" t="str">
        <x:v>docs/faults/mysql-down.md</x:v>
      </x:c>
      <x:c r="J199" s="11" t="str">
        <x:v>客户端不暴露堆栈，服务可自动恢复</x:v>
      </x:c>
      <x:c r="K199" s="11" t="str">
        <x:v>发布与故障恢复</x:v>
      </x:c>
      <x:c r="L199" s="11" t="str">
        <x:v>核心路径先独立设计与实现；AI仅提示/审查，提交前能口述原理。</x:v>
      </x:c>
      <x:c r="M199" s="14" t="n">
        <x:v>1.5</x:v>
      </x:c>
      <x:c r="N199" s="16"/>
      <x:c r="O199" s="17" t="str">
        <x:v>未开始</x:v>
      </x:c>
      <x:c r="P199" s="17" t="str">
        <x:v>待验收</x:v>
      </x:c>
      <x:c r="Q199" s="17"/>
      <x:c r="R199" s="17"/>
      <x:c r="S199" s="11" t="str">
        <x:f>IF(AND(O199="已完成",P199="通过",LEN(Q199)&gt;0,LEN(R199)&gt;0),"可计入",IF(O199="已取消","已取消","待证据"))</x:f>
        <x:v>待证据</x:v>
      </x:c>
      <x:c r="T199" s="11"/>
      <x:c r="U199" s="11"/>
      <x:c r="V199" s="11"/>
      <x:c r="W199" s="11" t="str">
        <x:v>基础：Linux进程、日志、超时与恢复</x:v>
      </x:c>
    </x:row>
    <x:row r="200" ht="45" customHeight="1">
      <x:c r="A200" s="11" t="n">
        <x:v>29</x:v>
      </x:c>
      <x:c r="B200" s="11" t="str">
        <x:v>2027-05-19</x:v>
      </x:c>
      <x:c r="C200" s="11" t="str">
        <x:v>三</x:v>
      </x:c>
      <x:c r="D200" s="11" t="str">
        <x:v>SC-2903</x:v>
      </x:c>
      <x:c r="E200" s="11" t="str">
        <x:v>Phase-29 故障注入</x:v>
      </x:c>
      <x:c r="F200" s="11" t="str">
        <x:v>Must</x:v>
      </x:c>
      <x:c r="G200" s="11" t="str">
        <x:v>开发/验证</x:v>
      </x:c>
      <x:c r="H200" s="11" t="str">
        <x:v>故意断Redis验证缓存降级及数据库压力变化</x:v>
      </x:c>
      <x:c r="I200" s="11" t="str">
        <x:v>docs/faults/redis-down.md</x:v>
      </x:c>
      <x:c r="J200" s="11" t="str">
        <x:v>服务可用性与风险有实测记录</x:v>
      </x:c>
      <x:c r="K200" s="11" t="str">
        <x:v>发布与故障恢复</x:v>
      </x:c>
      <x:c r="L200" s="11" t="str">
        <x:v>核心路径先独立设计与实现；AI仅提示/审查，提交前能口述原理。</x:v>
      </x:c>
      <x:c r="M200" s="14" t="n">
        <x:v>1.5</x:v>
      </x:c>
      <x:c r="N200" s="16"/>
      <x:c r="O200" s="17" t="str">
        <x:v>未开始</x:v>
      </x:c>
      <x:c r="P200" s="17" t="str">
        <x:v>待验收</x:v>
      </x:c>
      <x:c r="Q200" s="17"/>
      <x:c r="R200" s="17"/>
      <x:c r="S200" s="11" t="str">
        <x:f>IF(AND(O200="已完成",P200="通过",LEN(Q200)&gt;0,LEN(R200)&gt;0),"可计入",IF(O200="已取消","已取消","待证据"))</x:f>
        <x:v>待证据</x:v>
      </x:c>
      <x:c r="T200" s="11"/>
      <x:c r="U200" s="11"/>
      <x:c r="V200" s="11"/>
      <x:c r="W200" s="11" t="str">
        <x:v>算法：图/DFS</x:v>
      </x:c>
    </x:row>
    <x:row r="201" ht="45" customHeight="1">
      <x:c r="A201" s="11" t="n">
        <x:v>29</x:v>
      </x:c>
      <x:c r="B201" s="11" t="str">
        <x:v>2027-05-20</x:v>
      </x:c>
      <x:c r="C201" s="11" t="str">
        <x:v>四</x:v>
      </x:c>
      <x:c r="D201" s="11" t="str">
        <x:v>SC-2904</x:v>
      </x:c>
      <x:c r="E201" s="11" t="str">
        <x:v>Phase-29 故障注入</x:v>
      </x:c>
      <x:c r="F201" s="11" t="str">
        <x:v>Must</x:v>
      </x:c>
      <x:c r="G201" s="11" t="str">
        <x:v>开发/验证</x:v>
      </x:c>
      <x:c r="H201" s="11" t="str">
        <x:v>模拟双Dispatcher在MQ确认失败+中途进程退出场景下的Outbox租约恢复</x:v>
      </x:c>
      <x:c r="I201" s="11" t="str">
        <x:v>docs/faults/outbox-dual-worker.md + OutboxRecoveryIT</x:v>
      </x:c>
      <x:c r="J201" s="11" t="str">
        <x:v>任务超时可重领，重复投递仍消费者幂等</x:v>
      </x:c>
      <x:c r="K201" s="11" t="str">
        <x:v>发布与故障恢复</x:v>
      </x:c>
      <x:c r="L201" s="11" t="str">
        <x:v>明确触发/日志/最终一致性</x:v>
      </x:c>
      <x:c r="M201" s="14" t="n">
        <x:v>1.5</x:v>
      </x:c>
      <x:c r="N201" s="16"/>
      <x:c r="O201" s="17" t="str">
        <x:v>未开始</x:v>
      </x:c>
      <x:c r="P201" s="17" t="str">
        <x:v>待验收</x:v>
      </x:c>
      <x:c r="Q201" s="17"/>
      <x:c r="R201" s="17"/>
      <x:c r="S201" s="11" t="str">
        <x:f>IF(AND(O201="已完成",P201="通过",LEN(Q201)&gt;0,LEN(R201)&gt;0),"可计入",IF(O201="已取消","已取消","待证据"))</x:f>
        <x:v>待证据</x:v>
      </x:c>
      <x:c r="T201" s="11"/>
      <x:c r="U201" s="11"/>
      <x:c r="V201" s="11"/>
      <x:c r="W201" s="11" t="str">
        <x:v>基础：Linux进程、日志、超时与恢复</x:v>
      </x:c>
    </x:row>
    <x:row r="202" ht="45" customHeight="1">
      <x:c r="A202" s="11" t="n">
        <x:v>29</x:v>
      </x:c>
      <x:c r="B202" s="11" t="str">
        <x:v>2027-05-21</x:v>
      </x:c>
      <x:c r="C202" s="11" t="str">
        <x:v>五</x:v>
      </x:c>
      <x:c r="D202" s="11" t="str">
        <x:v>SC-2905</x:v>
      </x:c>
      <x:c r="E202" s="11" t="str">
        <x:v>Phase-29 故障注入</x:v>
      </x:c>
      <x:c r="F202" s="11" t="str">
        <x:v>Must</x:v>
      </x:c>
      <x:c r="G202" s="11" t="str">
        <x:v>开发/验证</x:v>
      </x:c>
      <x:c r="H202" s="11" t="str">
        <x:v>模拟消费者重复处理并核对Inbox幂等</x:v>
      </x:c>
      <x:c r="I202" s="11" t="str">
        <x:v>docs/faults/duplicate-delivery.md</x:v>
      </x:c>
      <x:c r="J202" s="11" t="str">
        <x:v>副作用不重复、可重放</x:v>
      </x:c>
      <x:c r="K202" s="11" t="str">
        <x:v>发布与故障恢复</x:v>
      </x:c>
      <x:c r="L202" s="11" t="str">
        <x:v>独立验收时使用L0/L1；AI只在验收后做复盘。</x:v>
      </x:c>
      <x:c r="M202" s="14" t="n">
        <x:v>1</x:v>
      </x:c>
      <x:c r="N202" s="16"/>
      <x:c r="O202" s="17" t="str">
        <x:v>未开始</x:v>
      </x:c>
      <x:c r="P202" s="17" t="str">
        <x:v>待验收</x:v>
      </x:c>
      <x:c r="Q202" s="17"/>
      <x:c r="R202" s="17"/>
      <x:c r="S202" s="11" t="str">
        <x:f>IF(AND(O202="已完成",P202="通过",LEN(Q202)&gt;0,LEN(R202)&gt;0),"可计入",IF(O202="已取消","已取消","待证据"))</x:f>
        <x:v>待证据</x:v>
      </x:c>
      <x:c r="T202" s="11"/>
      <x:c r="U202" s="11"/>
      <x:c r="V202" s="11"/>
      <x:c r="W202" s="11" t="str">
        <x:v>算法：图/DFS</x:v>
      </x:c>
    </x:row>
    <x:row r="203" ht="45" customHeight="1">
      <x:c r="A203" s="11" t="n">
        <x:v>29</x:v>
      </x:c>
      <x:c r="B203" s="11" t="str">
        <x:v>2027-05-22</x:v>
      </x:c>
      <x:c r="C203" s="11" t="str">
        <x:v>六</x:v>
      </x:c>
      <x:c r="D203" s="11" t="str">
        <x:v>SC-2906</x:v>
      </x:c>
      <x:c r="E203" s="11" t="str">
        <x:v>Phase-29 故障注入</x:v>
      </x:c>
      <x:c r="F203" s="11" t="str">
        <x:v>Must</x:v>
      </x:c>
      <x:c r="G203" s="11" t="str">
        <x:v>开发/验证</x:v>
      </x:c>
      <x:c r="H203" s="11" t="str">
        <x:v>完成MySQL备份、恢复到新容器的演练</x:v>
      </x:c>
      <x:c r="I203" s="11" t="str">
        <x:v>scripts/backup-db.sh + restore-db.sh</x:v>
      </x:c>
      <x:c r="J203" s="11" t="str">
        <x:v>从备份能重建并通过冒烟测试</x:v>
      </x:c>
      <x:c r="K203" s="11" t="str">
        <x:v>发布与故障恢复</x:v>
      </x:c>
      <x:c r="L203" s="11" t="str">
        <x:v>核心路径先独立设计与实现；AI仅提示/审查，提交前能口述原理。</x:v>
      </x:c>
      <x:c r="M203" s="14" t="n">
        <x:v>2.5</x:v>
      </x:c>
      <x:c r="N203" s="16"/>
      <x:c r="O203" s="17" t="str">
        <x:v>未开始</x:v>
      </x:c>
      <x:c r="P203" s="17" t="str">
        <x:v>待验收</x:v>
      </x:c>
      <x:c r="Q203" s="17"/>
      <x:c r="R203" s="17"/>
      <x:c r="S203" s="11" t="str">
        <x:f>IF(AND(O203="已完成",P203="通过",LEN(Q203)&gt;0,LEN(R203)&gt;0),"可计入",IF(O203="已取消","已取消","待证据"))</x:f>
        <x:v>待证据</x:v>
      </x:c>
      <x:c r="T203" s="11"/>
      <x:c r="U203" s="11"/>
      <x:c r="V203" s="11"/>
      <x:c r="W203" s="11" t="str">
        <x:v>求职/返工缓冲或补测试</x:v>
      </x:c>
    </x:row>
    <x:row r="204" ht="45" customHeight="1">
      <x:c r="A204" s="11" t="n">
        <x:v>29</x:v>
      </x:c>
      <x:c r="B204" s="11" t="str">
        <x:v>2027-05-23</x:v>
      </x:c>
      <x:c r="C204" s="11" t="str">
        <x:v>日</x:v>
      </x:c>
      <x:c r="D204" s="11" t="str">
        <x:v>SC-2907</x:v>
      </x:c>
      <x:c r="E204" s="11" t="str">
        <x:v>Phase-29 故障注入</x:v>
      </x:c>
      <x:c r="F204" s="11" t="str">
        <x:v>Must</x:v>
      </x:c>
      <x:c r="G204" s="11" t="str">
        <x:v>缓冲/回归</x:v>
      </x:c>
      <x:c r="H204" s="11" t="str">
        <x:v>写一次正式事故复盘：时间线、影响、根因、行动项</x:v>
      </x:c>
      <x:c r="I204" s="11" t="str">
        <x:v>docs/incidents/postmortem-01.md</x:v>
      </x:c>
      <x:c r="J204" s="11" t="str">
        <x:v>能区分触发点与根因</x:v>
      </x:c>
      <x:c r="K204" s="11" t="str">
        <x:v>发布与故障恢复</x:v>
      </x:c>
      <x:c r="L204" s="11" t="str">
        <x:v>核心路径先独立设计与实现；AI仅提示/审查，提交前能口述原理。</x:v>
      </x:c>
      <x:c r="M204" s="14" t="n">
        <x:v>0.5</x:v>
      </x:c>
      <x:c r="N204" s="16"/>
      <x:c r="O204" s="17" t="str">
        <x:v>未开始</x:v>
      </x:c>
      <x:c r="P204" s="17" t="str">
        <x:v>待验收</x:v>
      </x:c>
      <x:c r="Q204" s="17"/>
      <x:c r="R204" s="17"/>
      <x:c r="S204" s="11" t="str">
        <x:f>IF(AND(O204="已完成",P204="通过",LEN(Q204)&gt;0,LEN(R204)&gt;0),"可计入",IF(O204="已取消","已取消","待证据"))</x:f>
        <x:v>待证据</x:v>
      </x:c>
      <x:c r="T204" s="11"/>
      <x:c r="U204" s="11"/>
      <x:c r="V204" s="11"/>
      <x:c r="W204" s="11" t="str">
        <x:v>周复盘+证据归档</x:v>
      </x:c>
    </x:row>
    <x:row r="205" ht="45" customHeight="1">
      <x:c r="A205" s="11" t="n">
        <x:v>30</x:v>
      </x:c>
      <x:c r="B205" s="11" t="str">
        <x:v>2027-05-24</x:v>
      </x:c>
      <x:c r="C205" s="11" t="str">
        <x:v>一</x:v>
      </x:c>
      <x:c r="D205" s="11" t="str">
        <x:v>SC-3001</x:v>
      </x:c>
      <x:c r="E205" s="11" t="str">
        <x:v>Phase-30 安全与数据治理</x:v>
      </x:c>
      <x:c r="F205" s="11" t="str">
        <x:v>Must</x:v>
      </x:c>
      <x:c r="G205" s="11" t="str">
        <x:v>设计/合同</x:v>
      </x:c>
      <x:c r="H205" s="11" t="str">
        <x:v>制作API安全清单：IDOR、注入、暴力登录、敏感暴露</x:v>
      </x:c>
      <x:c r="I205" s="11" t="str">
        <x:v>docs/security/api-checklist.md</x:v>
      </x:c>
      <x:c r="J205" s="11" t="str">
        <x:v>每条有测试方法和优先级</x:v>
      </x:c>
      <x:c r="K205" s="11" t="str">
        <x:v>权限与数据隔离</x:v>
      </x:c>
      <x:c r="L205" s="11" t="str">
        <x:v>核心路径先独立设计与实现；AI仅提示/审查，提交前能口述原理。</x:v>
      </x:c>
      <x:c r="M205" s="14" t="n">
        <x:v>1.5</x:v>
      </x:c>
      <x:c r="N205" s="16"/>
      <x:c r="O205" s="17" t="str">
        <x:v>未开始</x:v>
      </x:c>
      <x:c r="P205" s="17" t="str">
        <x:v>待验收</x:v>
      </x:c>
      <x:c r="Q205" s="17"/>
      <x:c r="R205" s="17"/>
      <x:c r="S205" s="11" t="str">
        <x:f>IF(AND(O205="已完成",P205="通过",LEN(Q205)&gt;0,LEN(R205)&gt;0),"可计入",IF(O205="已取消","已取消","待证据"))</x:f>
        <x:v>待证据</x:v>
      </x:c>
      <x:c r="T205" s="11"/>
      <x:c r="U205" s="11"/>
      <x:c r="V205" s="11"/>
      <x:c r="W205" s="11" t="str">
        <x:v>算法：字符串/哈希</x:v>
      </x:c>
    </x:row>
    <x:row r="206" ht="45" customHeight="1">
      <x:c r="A206" s="11" t="n">
        <x:v>30</x:v>
      </x:c>
      <x:c r="B206" s="11" t="str">
        <x:v>2027-05-25</x:v>
      </x:c>
      <x:c r="C206" s="11" t="str">
        <x:v>二</x:v>
      </x:c>
      <x:c r="D206" s="11" t="str">
        <x:v>SC-3002</x:v>
      </x:c>
      <x:c r="E206" s="11" t="str">
        <x:v>Phase-30 安全与数据治理</x:v>
      </x:c>
      <x:c r="F206" s="11" t="str">
        <x:v>Must</x:v>
      </x:c>
      <x:c r="G206" s="11" t="str">
        <x:v>开发/验证</x:v>
      </x:c>
      <x:c r="H206" s="11" t="str">
        <x:v>开展用户/订单/购物车/客服/AI全接口资源级鉴权回归，含admin越权风险</x:v>
      </x:c>
      <x:c r="I206" s="11" t="str">
        <x:v>SecurityRegressionIT</x:v>
      </x:c>
      <x:c r="J206" s="11" t="str">
        <x:v>横向与纵向越权用例全通过，失败即阻塞发布</x:v>
      </x:c>
      <x:c r="K206" s="11" t="str">
        <x:v>权限与数据隔离</x:v>
      </x:c>
      <x:c r="L206" s="11" t="str">
        <x:v>不只测HTTP角色还测对象归属</x:v>
      </x:c>
      <x:c r="M206" s="14" t="n">
        <x:v>1.5</x:v>
      </x:c>
      <x:c r="N206" s="16"/>
      <x:c r="O206" s="17" t="str">
        <x:v>未开始</x:v>
      </x:c>
      <x:c r="P206" s="17" t="str">
        <x:v>待验收</x:v>
      </x:c>
      <x:c r="Q206" s="17"/>
      <x:c r="R206" s="17"/>
      <x:c r="S206" s="11" t="str">
        <x:f>IF(AND(O206="已完成",P206="通过",LEN(Q206)&gt;0,LEN(R206)&gt;0),"可计入",IF(O206="已取消","已取消","待证据"))</x:f>
        <x:v>待证据</x:v>
      </x:c>
      <x:c r="T206" s="11"/>
      <x:c r="U206" s="11"/>
      <x:c r="V206" s="11"/>
      <x:c r="W206" s="11" t="str">
        <x:v>基础：JWT/SQL注入/最小权限</x:v>
      </x:c>
    </x:row>
    <x:row r="207" ht="45" customHeight="1">
      <x:c r="A207" s="11" t="n">
        <x:v>30</x:v>
      </x:c>
      <x:c r="B207" s="11" t="str">
        <x:v>2027-05-26</x:v>
      </x:c>
      <x:c r="C207" s="11" t="str">
        <x:v>三</x:v>
      </x:c>
      <x:c r="D207" s="11" t="str">
        <x:v>SC-3003</x:v>
      </x:c>
      <x:c r="E207" s="11" t="str">
        <x:v>Phase-30 安全与数据治理</x:v>
      </x:c>
      <x:c r="F207" s="11" t="str">
        <x:v>Must</x:v>
      </x:c>
      <x:c r="G207" s="11" t="str">
        <x:v>开发/验证</x:v>
      </x:c>
      <x:c r="H207" s="11" t="str">
        <x:v>检查SQL绑定与输入长度/文件处理边界；模拟注入攻击</x:v>
      </x:c>
      <x:c r="I207" s="11" t="str">
        <x:v>docs/security/input-tests.md</x:v>
      </x:c>
      <x:c r="J207" s="11" t="str">
        <x:v>无SQL字符串拼接和不安全上传</x:v>
      </x:c>
      <x:c r="K207" s="11" t="str">
        <x:v>权限与数据隔离</x:v>
      </x:c>
      <x:c r="L207" s="11" t="str">
        <x:v>核心路径先独立设计与实现；AI仅提示/审查，提交前能口述原理。</x:v>
      </x:c>
      <x:c r="M207" s="14" t="n">
        <x:v>1.5</x:v>
      </x:c>
      <x:c r="N207" s="16"/>
      <x:c r="O207" s="17" t="str">
        <x:v>未开始</x:v>
      </x:c>
      <x:c r="P207" s="17" t="str">
        <x:v>待验收</x:v>
      </x:c>
      <x:c r="Q207" s="17"/>
      <x:c r="R207" s="17"/>
      <x:c r="S207" s="11" t="str">
        <x:f>IF(AND(O207="已完成",P207="通过",LEN(Q207)&gt;0,LEN(R207)&gt;0),"可计入",IF(O207="已取消","已取消","待证据"))</x:f>
        <x:v>待证据</x:v>
      </x:c>
      <x:c r="T207" s="11"/>
      <x:c r="U207" s="11"/>
      <x:c r="V207" s="11"/>
      <x:c r="W207" s="11" t="str">
        <x:v>算法：字符串/哈希</x:v>
      </x:c>
    </x:row>
    <x:row r="208" ht="45" customHeight="1">
      <x:c r="A208" s="11" t="n">
        <x:v>30</x:v>
      </x:c>
      <x:c r="B208" s="11" t="str">
        <x:v>2027-05-27</x:v>
      </x:c>
      <x:c r="C208" s="11" t="str">
        <x:v>四</x:v>
      </x:c>
      <x:c r="D208" s="11" t="str">
        <x:v>SC-3004</x:v>
      </x:c>
      <x:c r="E208" s="11" t="str">
        <x:v>Phase-30 安全与数据治理</x:v>
      </x:c>
      <x:c r="F208" s="11" t="str">
        <x:v>Must</x:v>
      </x:c>
      <x:c r="G208" s="11" t="str">
        <x:v>开发/验证</x:v>
      </x:c>
      <x:c r="H208" s="11" t="str">
        <x:v>配置密码策略、登录频控与令牌撤销或短期失效策略</x:v>
      </x:c>
      <x:c r="I208" s="11" t="str">
        <x:v>AuthHardening</x:v>
      </x:c>
      <x:c r="J208" s="11" t="str">
        <x:v>暴力尝试受限，退出行为明确</x:v>
      </x:c>
      <x:c r="K208" s="11" t="str">
        <x:v>权限与数据隔离</x:v>
      </x:c>
      <x:c r="L208" s="11" t="str">
        <x:v>核心路径先独立设计与实现；AI仅提示/审查，提交前能口述原理。</x:v>
      </x:c>
      <x:c r="M208" s="14" t="n">
        <x:v>1.5</x:v>
      </x:c>
      <x:c r="N208" s="16"/>
      <x:c r="O208" s="17" t="str">
        <x:v>未开始</x:v>
      </x:c>
      <x:c r="P208" s="17" t="str">
        <x:v>待验收</x:v>
      </x:c>
      <x:c r="Q208" s="17"/>
      <x:c r="R208" s="17"/>
      <x:c r="S208" s="11" t="str">
        <x:f>IF(AND(O208="已完成",P208="通过",LEN(Q208)&gt;0,LEN(R208)&gt;0),"可计入",IF(O208="已取消","已取消","待证据"))</x:f>
        <x:v>待证据</x:v>
      </x:c>
      <x:c r="T208" s="11"/>
      <x:c r="U208" s="11"/>
      <x:c r="V208" s="11"/>
      <x:c r="W208" s="11" t="str">
        <x:v>基础：JWT/SQL注入/最小权限</x:v>
      </x:c>
    </x:row>
    <x:row r="209" ht="45" customHeight="1">
      <x:c r="A209" s="11" t="n">
        <x:v>30</x:v>
      </x:c>
      <x:c r="B209" s="11" t="str">
        <x:v>2027-05-28</x:v>
      </x:c>
      <x:c r="C209" s="11" t="str">
        <x:v>五</x:v>
      </x:c>
      <x:c r="D209" s="11" t="str">
        <x:v>SC-3005</x:v>
      </x:c>
      <x:c r="E209" s="11" t="str">
        <x:v>Phase-30 安全与数据治理</x:v>
      </x:c>
      <x:c r="F209" s="11" t="str">
        <x:v>Must</x:v>
      </x:c>
      <x:c r="G209" s="11" t="str">
        <x:v>开发/验证</x:v>
      </x:c>
      <x:c r="H209" s="11" t="str">
        <x:v>扫描依赖漏洞，记录升级风险并修复高危依赖</x:v>
      </x:c>
      <x:c r="I209" s="11" t="str">
        <x:v>docs/security/dependency-audit.md</x:v>
      </x:c>
      <x:c r="J209" s="11" t="str">
        <x:v>修复后CI回归通过</x:v>
      </x:c>
      <x:c r="K209" s="11" t="str">
        <x:v>权限与数据隔离</x:v>
      </x:c>
      <x:c r="L209" s="11" t="str">
        <x:v>独立验收时使用L0/L1；AI只在验收后做复盘。</x:v>
      </x:c>
      <x:c r="M209" s="14" t="n">
        <x:v>1</x:v>
      </x:c>
      <x:c r="N209" s="16"/>
      <x:c r="O209" s="17" t="str">
        <x:v>未开始</x:v>
      </x:c>
      <x:c r="P209" s="17" t="str">
        <x:v>待验收</x:v>
      </x:c>
      <x:c r="Q209" s="17"/>
      <x:c r="R209" s="17"/>
      <x:c r="S209" s="11" t="str">
        <x:f>IF(AND(O209="已完成",P209="通过",LEN(Q209)&gt;0,LEN(R209)&gt;0),"可计入",IF(O209="已取消","已取消","待证据"))</x:f>
        <x:v>待证据</x:v>
      </x:c>
      <x:c r="T209" s="11"/>
      <x:c r="U209" s="11"/>
      <x:c r="V209" s="11"/>
      <x:c r="W209" s="11" t="str">
        <x:v>算法：字符串/哈希</x:v>
      </x:c>
    </x:row>
    <x:row r="210" ht="45" customHeight="1">
      <x:c r="A210" s="11" t="n">
        <x:v>30</x:v>
      </x:c>
      <x:c r="B210" s="11" t="str">
        <x:v>2027-05-29</x:v>
      </x:c>
      <x:c r="C210" s="11" t="str">
        <x:v>六</x:v>
      </x:c>
      <x:c r="D210" s="11" t="str">
        <x:v>SC-3006</x:v>
      </x:c>
      <x:c r="E210" s="11" t="str">
        <x:v>Phase-30 安全与数据治理</x:v>
      </x:c>
      <x:c r="F210" s="11" t="str">
        <x:v>Must</x:v>
      </x:c>
      <x:c r="G210" s="11" t="str">
        <x:v>设计/合同</x:v>
      </x:c>
      <x:c r="H210" s="11" t="str">
        <x:v>按最小化原则设计数据保留与删除流程，测试PII脱敏</x:v>
      </x:c>
      <x:c r="I210" s="11" t="str">
        <x:v>docs/privacy/data-retention.md</x:v>
      </x:c>
      <x:c r="J210" s="11" t="str">
        <x:v>聊天记录可清理、日志无原文隐私</x:v>
      </x:c>
      <x:c r="K210" s="11" t="str">
        <x:v>权限与数据隔离</x:v>
      </x:c>
      <x:c r="L210" s="11" t="str">
        <x:v>核心路径先独立设计与实现；AI仅提示/审查，提交前能口述原理。</x:v>
      </x:c>
      <x:c r="M210" s="14" t="n">
        <x:v>2.5</x:v>
      </x:c>
      <x:c r="N210" s="16"/>
      <x:c r="O210" s="17" t="str">
        <x:v>未开始</x:v>
      </x:c>
      <x:c r="P210" s="17" t="str">
        <x:v>待验收</x:v>
      </x:c>
      <x:c r="Q210" s="17"/>
      <x:c r="R210" s="17"/>
      <x:c r="S210" s="11" t="str">
        <x:f>IF(AND(O210="已完成",P210="通过",LEN(Q210)&gt;0,LEN(R210)&gt;0),"可计入",IF(O210="已取消","已取消","待证据"))</x:f>
        <x:v>待证据</x:v>
      </x:c>
      <x:c r="T210" s="11"/>
      <x:c r="U210" s="11"/>
      <x:c r="V210" s="11"/>
      <x:c r="W210" s="11" t="str">
        <x:v>求职/返工缓冲或补测试</x:v>
      </x:c>
    </x:row>
    <x:row r="211" ht="45" customHeight="1">
      <x:c r="A211" s="11" t="n">
        <x:v>30</x:v>
      </x:c>
      <x:c r="B211" s="11" t="str">
        <x:v>2027-05-30</x:v>
      </x:c>
      <x:c r="C211" s="11" t="str">
        <x:v>日</x:v>
      </x:c>
      <x:c r="D211" s="11" t="str">
        <x:v>SC-3007</x:v>
      </x:c>
      <x:c r="E211" s="11" t="str">
        <x:v>Phase-30 安全与数据治理</x:v>
      </x:c>
      <x:c r="F211" s="11" t="str">
        <x:v>Must</x:v>
      </x:c>
      <x:c r="G211" s="11" t="str">
        <x:v>缓冲/回归</x:v>
      </x:c>
      <x:c r="H211" s="11" t="str">
        <x:v>安全发布门禁及缓冲：修复已复现高风险漏洞后再复测</x:v>
      </x:c>
      <x:c r="I211" s="11" t="str">
        <x:v>docs/security/release-gate.md</x:v>
      </x:c>
      <x:c r="J211" s="11" t="str">
        <x:v>每个修复都有自动回归测试</x:v>
      </x:c>
      <x:c r="K211" s="11" t="str">
        <x:v>权限与数据隔离</x:v>
      </x:c>
      <x:c r="L211" s="11" t="str">
        <x:v>核心路径先独立设计与实现；AI仅提示/审查，提交前能口述原理。</x:v>
      </x:c>
      <x:c r="M211" s="14" t="n">
        <x:v>0.5</x:v>
      </x:c>
      <x:c r="N211" s="16"/>
      <x:c r="O211" s="17" t="str">
        <x:v>未开始</x:v>
      </x:c>
      <x:c r="P211" s="17" t="str">
        <x:v>待验收</x:v>
      </x:c>
      <x:c r="Q211" s="17"/>
      <x:c r="R211" s="17"/>
      <x:c r="S211" s="11" t="str">
        <x:f>IF(AND(O211="已完成",P211="通过",LEN(Q211)&gt;0,LEN(R211)&gt;0),"可计入",IF(O211="已取消","已取消","待证据"))</x:f>
        <x:v>待证据</x:v>
      </x:c>
      <x:c r="T211" s="11"/>
      <x:c r="U211" s="11"/>
      <x:c r="V211" s="11"/>
      <x:c r="W211" s="11" t="str">
        <x:v>周复盘+证据归档</x:v>
      </x:c>
    </x:row>
    <x:row r="212" ht="45" customHeight="1">
      <x:c r="A212" s="11" t="n">
        <x:v>31</x:v>
      </x:c>
      <x:c r="B212" s="11" t="str">
        <x:v>2027-05-31</x:v>
      </x:c>
      <x:c r="C212" s="11" t="str">
        <x:v>一</x:v>
      </x:c>
      <x:c r="D212" s="11" t="str">
        <x:v>SC-3101</x:v>
      </x:c>
      <x:c r="E212" s="11" t="str">
        <x:v>Phase-31 部署发布</x:v>
      </x:c>
      <x:c r="F212" s="11" t="str">
        <x:v>Must</x:v>
      </x:c>
      <x:c r="G212" s="11" t="str">
        <x:v>设计/合同</x:v>
      </x:c>
      <x:c r="H212" s="11" t="str">
        <x:v>部署到可控测试机或本地VM，隔离dev/test/prod配置</x:v>
      </x:c>
      <x:c r="I212" s="11" t="str">
        <x:v>infra/deploy/</x:v>
      </x:c>
      <x:c r="J212" s="11" t="str">
        <x:v>测试环境不用开发者个人密钥</x:v>
      </x:c>
      <x:c r="K212" s="11" t="str">
        <x:v>发布与故障恢复</x:v>
      </x:c>
      <x:c r="L212" s="11" t="str">
        <x:v>核心路径先独立设计与实现；AI仅提示/审查，提交前能口述原理。</x:v>
      </x:c>
      <x:c r="M212" s="14" t="n">
        <x:v>1.5</x:v>
      </x:c>
      <x:c r="N212" s="16"/>
      <x:c r="O212" s="17" t="str">
        <x:v>未开始</x:v>
      </x:c>
      <x:c r="P212" s="17" t="str">
        <x:v>待验收</x:v>
      </x:c>
      <x:c r="Q212" s="17"/>
      <x:c r="R212" s="17"/>
      <x:c r="S212" s="11" t="str">
        <x:f>IF(AND(O212="已完成",P212="通过",LEN(Q212)&gt;0,LEN(R212)&gt;0),"可计入",IF(O212="已取消","已取消","待证据"))</x:f>
        <x:v>待证据</x:v>
      </x:c>
      <x:c r="T212" s="11"/>
      <x:c r="U212" s="11"/>
      <x:c r="V212" s="11"/>
      <x:c r="W212" s="11" t="str">
        <x:v>算法：树/图</x:v>
      </x:c>
    </x:row>
    <x:row r="213" ht="45" customHeight="1">
      <x:c r="A213" s="11" t="n">
        <x:v>31</x:v>
      </x:c>
      <x:c r="B213" s="11" t="str">
        <x:v>2027-06-01</x:v>
      </x:c>
      <x:c r="C213" s="11" t="str">
        <x:v>二</x:v>
      </x:c>
      <x:c r="D213" s="11" t="str">
        <x:v>SC-3102</x:v>
      </x:c>
      <x:c r="E213" s="11" t="str">
        <x:v>Phase-31 部署发布</x:v>
      </x:c>
      <x:c r="F213" s="11" t="str">
        <x:v>Must</x:v>
      </x:c>
      <x:c r="G213" s="11" t="str">
        <x:v>开发/验证</x:v>
      </x:c>
      <x:c r="H213" s="11" t="str">
        <x:v>数据库兼容发布：演示Expand-Migrate-Contract新增字段，旧新应用同时可读取</x:v>
      </x:c>
      <x:c r="I213" s="11" t="str">
        <x:v>docs/ops/expand-contract-release.md</x:v>
      </x:c>
      <x:c r="J213" s="11" t="str">
        <x:v>旧版镜像在扩展迁移后冒烟通过，收缩DDL需单独批准</x:v>
      </x:c>
      <x:c r="K213" s="11" t="str">
        <x:v>发布与故障恢复</x:v>
      </x:c>
      <x:c r="L213" s="11" t="str">
        <x:v>无生产环境标注为本地演练</x:v>
      </x:c>
      <x:c r="M213" s="14" t="n">
        <x:v>1.5</x:v>
      </x:c>
      <x:c r="N213" s="16"/>
      <x:c r="O213" s="17" t="str">
        <x:v>未开始</x:v>
      </x:c>
      <x:c r="P213" s="17" t="str">
        <x:v>待验收</x:v>
      </x:c>
      <x:c r="Q213" s="17"/>
      <x:c r="R213" s="17"/>
      <x:c r="S213" s="11" t="str">
        <x:f>IF(AND(O213="已完成",P213="通过",LEN(Q213)&gt;0,LEN(R213)&gt;0),"可计入",IF(O213="已取消","已取消","待证据"))</x:f>
        <x:v>待证据</x:v>
      </x:c>
      <x:c r="T213" s="11"/>
      <x:c r="U213" s="11"/>
      <x:c r="V213" s="11"/>
      <x:c r="W213" s="11" t="str">
        <x:v>基础：Docker镜像、发布回滚</x:v>
      </x:c>
    </x:row>
    <x:row r="214" ht="45" customHeight="1">
      <x:c r="A214" s="11" t="n">
        <x:v>31</x:v>
      </x:c>
      <x:c r="B214" s="11" t="str">
        <x:v>2027-06-02</x:v>
      </x:c>
      <x:c r="C214" s="11" t="str">
        <x:v>三</x:v>
      </x:c>
      <x:c r="D214" s="11" t="str">
        <x:v>SC-3103</x:v>
      </x:c>
      <x:c r="E214" s="11" t="str">
        <x:v>Phase-31 部署发布</x:v>
      </x:c>
      <x:c r="F214" s="11" t="str">
        <x:v>Must</x:v>
      </x:c>
      <x:c r="G214" s="11" t="str">
        <x:v>开发/验证</x:v>
      </x:c>
      <x:c r="H214" s="11" t="str">
        <x:v>把CI分为构建、单测、集成测试、静态扫描、镜像构建</x:v>
      </x:c>
      <x:c r="I214" s="11" t="str">
        <x:v>CI workflow</x:v>
      </x:c>
      <x:c r="J214" s="11" t="str">
        <x:v>任一关键阶段失败阻止发布</x:v>
      </x:c>
      <x:c r="K214" s="11" t="str">
        <x:v>发布与故障恢复</x:v>
      </x:c>
      <x:c r="L214" s="11" t="str">
        <x:v>核心路径先独立设计与实现；AI仅提示/审查，提交前能口述原理。</x:v>
      </x:c>
      <x:c r="M214" s="14" t="n">
        <x:v>1.5</x:v>
      </x:c>
      <x:c r="N214" s="16"/>
      <x:c r="O214" s="17" t="str">
        <x:v>未开始</x:v>
      </x:c>
      <x:c r="P214" s="17" t="str">
        <x:v>待验收</x:v>
      </x:c>
      <x:c r="Q214" s="17"/>
      <x:c r="R214" s="17"/>
      <x:c r="S214" s="11" t="str">
        <x:f>IF(AND(O214="已完成",P214="通过",LEN(Q214)&gt;0,LEN(R214)&gt;0),"可计入",IF(O214="已取消","已取消","待证据"))</x:f>
        <x:v>待证据</x:v>
      </x:c>
      <x:c r="T214" s="11"/>
      <x:c r="U214" s="11"/>
      <x:c r="V214" s="11"/>
      <x:c r="W214" s="11" t="str">
        <x:v>算法：树/图</x:v>
      </x:c>
    </x:row>
    <x:row r="215" ht="45" customHeight="1">
      <x:c r="A215" s="11" t="n">
        <x:v>31</x:v>
      </x:c>
      <x:c r="B215" s="11" t="str">
        <x:v>2027-06-03</x:v>
      </x:c>
      <x:c r="C215" s="11" t="str">
        <x:v>四</x:v>
      </x:c>
      <x:c r="D215" s="11" t="str">
        <x:v>SC-3104</x:v>
      </x:c>
      <x:c r="E215" s="11" t="str">
        <x:v>Phase-31 部署发布</x:v>
      </x:c>
      <x:c r="F215" s="11" t="str">
        <x:v>Must</x:v>
      </x:c>
      <x:c r="G215" s="11" t="str">
        <x:v>开发/验证</x:v>
      </x:c>
      <x:c r="H215" s="11" t="str">
        <x:v>实现发布标签与版本号策略，生成CHANGELOG</x:v>
      </x:c>
      <x:c r="I215" s="11" t="str">
        <x:v>release/v0.9.0.md</x:v>
      </x:c>
      <x:c r="J215" s="11" t="str">
        <x:v>发布物可追踪到提交哈希</x:v>
      </x:c>
      <x:c r="K215" s="11" t="str">
        <x:v>发布与故障恢复</x:v>
      </x:c>
      <x:c r="L215" s="11" t="str">
        <x:v>核心路径先独立设计与实现；AI仅提示/审查，提交前能口述原理。</x:v>
      </x:c>
      <x:c r="M215" s="14" t="n">
        <x:v>1.5</x:v>
      </x:c>
      <x:c r="N215" s="16"/>
      <x:c r="O215" s="17" t="str">
        <x:v>未开始</x:v>
      </x:c>
      <x:c r="P215" s="17" t="str">
        <x:v>待验收</x:v>
      </x:c>
      <x:c r="Q215" s="17"/>
      <x:c r="R215" s="17"/>
      <x:c r="S215" s="11" t="str">
        <x:f>IF(AND(O215="已完成",P215="通过",LEN(Q215)&gt;0,LEN(R215)&gt;0),"可计入",IF(O215="已取消","已取消","待证据"))</x:f>
        <x:v>待证据</x:v>
      </x:c>
      <x:c r="T215" s="11"/>
      <x:c r="U215" s="11"/>
      <x:c r="V215" s="11"/>
      <x:c r="W215" s="11" t="str">
        <x:v>基础：Docker镜像、发布回滚</x:v>
      </x:c>
    </x:row>
    <x:row r="216" ht="45" customHeight="1">
      <x:c r="A216" s="11" t="n">
        <x:v>31</x:v>
      </x:c>
      <x:c r="B216" s="11" t="str">
        <x:v>2027-06-04</x:v>
      </x:c>
      <x:c r="C216" s="11" t="str">
        <x:v>五</x:v>
      </x:c>
      <x:c r="D216" s="11" t="str">
        <x:v>SC-3105</x:v>
      </x:c>
      <x:c r="E216" s="11" t="str">
        <x:v>Phase-31 部署发布</x:v>
      </x:c>
      <x:c r="F216" s="11" t="str">
        <x:v>Must</x:v>
      </x:c>
      <x:c r="G216" s="11" t="str">
        <x:v>开发/验证</x:v>
      </x:c>
      <x:c r="H216" s="11" t="str">
        <x:v>执行一次小范围发布和冒烟测试，保留失败时回滚预案</x:v>
      </x:c>
      <x:c r="I216" s="11" t="str">
        <x:v>docs/evidence/deploy-v0.9.md</x:v>
      </x:c>
      <x:c r="J216" s="11" t="str">
        <x:v>返回核心业务与AI功能的验证记录</x:v>
      </x:c>
      <x:c r="K216" s="11" t="str">
        <x:v>发布与故障恢复</x:v>
      </x:c>
      <x:c r="L216" s="11" t="str">
        <x:v>独立验收时使用L0/L1；AI只在验收后做复盘。</x:v>
      </x:c>
      <x:c r="M216" s="14" t="n">
        <x:v>1</x:v>
      </x:c>
      <x:c r="N216" s="16"/>
      <x:c r="O216" s="17" t="str">
        <x:v>未开始</x:v>
      </x:c>
      <x:c r="P216" s="17" t="str">
        <x:v>待验收</x:v>
      </x:c>
      <x:c r="Q216" s="17"/>
      <x:c r="R216" s="17"/>
      <x:c r="S216" s="11" t="str">
        <x:f>IF(AND(O216="已完成",P216="通过",LEN(Q216)&gt;0,LEN(R216)&gt;0),"可计入",IF(O216="已取消","已取消","待证据"))</x:f>
        <x:v>待证据</x:v>
      </x:c>
      <x:c r="T216" s="11"/>
      <x:c r="U216" s="11"/>
      <x:c r="V216" s="11"/>
      <x:c r="W216" s="11" t="str">
        <x:v>算法：树/图</x:v>
      </x:c>
    </x:row>
    <x:row r="217" ht="45" customHeight="1">
      <x:c r="A217" s="11" t="n">
        <x:v>31</x:v>
      </x:c>
      <x:c r="B217" s="11" t="str">
        <x:v>2027-06-05</x:v>
      </x:c>
      <x:c r="C217" s="11" t="str">
        <x:v>六</x:v>
      </x:c>
      <x:c r="D217" s="11" t="str">
        <x:v>SC-3106</x:v>
      </x:c>
      <x:c r="E217" s="11" t="str">
        <x:v>Phase-31 部署发布</x:v>
      </x:c>
      <x:c r="F217" s="11" t="str">
        <x:v>Must</x:v>
      </x:c>
      <x:c r="G217" s="11" t="str">
        <x:v>开发/验证</x:v>
      </x:c>
      <x:c r="H217" s="11" t="str">
        <x:v>应用回滚演练：回滚容器镜像但不回滚已提交迁移，解释向前兼容边界</x:v>
      </x:c>
      <x:c r="I217" s="11" t="str">
        <x:v>docs/ops/rollback-runbook.md</x:v>
      </x:c>
      <x:c r="J217" s="11" t="str">
        <x:v>旧代码与新Schema兼容，失败有恢复步骤</x:v>
      </x:c>
      <x:c r="K217" s="11" t="str">
        <x:v>发布与故障恢复</x:v>
      </x:c>
      <x:c r="L217" s="11" t="str">
        <x:v>不得谎称数据库回滚无风险</x:v>
      </x:c>
      <x:c r="M217" s="14" t="n">
        <x:v>2.5</x:v>
      </x:c>
      <x:c r="N217" s="16"/>
      <x:c r="O217" s="17" t="str">
        <x:v>未开始</x:v>
      </x:c>
      <x:c r="P217" s="17" t="str">
        <x:v>待验收</x:v>
      </x:c>
      <x:c r="Q217" s="17"/>
      <x:c r="R217" s="17"/>
      <x:c r="S217" s="11" t="str">
        <x:f>IF(AND(O217="已完成",P217="通过",LEN(Q217)&gt;0,LEN(R217)&gt;0),"可计入",IF(O217="已取消","已取消","待证据"))</x:f>
        <x:v>待证据</x:v>
      </x:c>
      <x:c r="T217" s="11"/>
      <x:c r="U217" s="11"/>
      <x:c r="V217" s="11"/>
      <x:c r="W217" s="11" t="str">
        <x:v>求职/返工缓冲或补测试</x:v>
      </x:c>
    </x:row>
    <x:row r="218" ht="45" customHeight="1">
      <x:c r="A218" s="11" t="n">
        <x:v>31</x:v>
      </x:c>
      <x:c r="B218" s="11" t="str">
        <x:v>2027-06-06</x:v>
      </x:c>
      <x:c r="C218" s="11" t="str">
        <x:v>日</x:v>
      </x:c>
      <x:c r="D218" s="11" t="str">
        <x:v>SC-3107</x:v>
      </x:c>
      <x:c r="E218" s="11" t="str">
        <x:v>Phase-31 部署发布</x:v>
      </x:c>
      <x:c r="F218" s="11" t="str">
        <x:v>Must</x:v>
      </x:c>
      <x:c r="G218" s="11" t="str">
        <x:v>缓冲/回归</x:v>
      </x:c>
      <x:c r="H218" s="11" t="str">
        <x:v>邀请同学按README从零部署并收集问题</x:v>
      </x:c>
      <x:c r="I218" s="11" t="str">
        <x:v>docs/qa/external-review.md</x:v>
      </x:c>
      <x:c r="J218" s="11" t="str">
        <x:v>至少修复一项外部体验问题</x:v>
      </x:c>
      <x:c r="K218" s="11" t="str">
        <x:v>发布与故障恢复</x:v>
      </x:c>
      <x:c r="L218" s="11" t="str">
        <x:v>核心路径先独立设计与实现；AI仅提示/审查，提交前能口述原理。</x:v>
      </x:c>
      <x:c r="M218" s="14" t="n">
        <x:v>0.5</x:v>
      </x:c>
      <x:c r="N218" s="16"/>
      <x:c r="O218" s="17" t="str">
        <x:v>未开始</x:v>
      </x:c>
      <x:c r="P218" s="17" t="str">
        <x:v>待验收</x:v>
      </x:c>
      <x:c r="Q218" s="17"/>
      <x:c r="R218" s="17"/>
      <x:c r="S218" s="11" t="str">
        <x:f>IF(AND(O218="已完成",P218="通过",LEN(Q218)&gt;0,LEN(R218)&gt;0),"可计入",IF(O218="已取消","已取消","待证据"))</x:f>
        <x:v>待证据</x:v>
      </x:c>
      <x:c r="T218" s="11"/>
      <x:c r="U218" s="11"/>
      <x:c r="V218" s="11"/>
      <x:c r="W218" s="11" t="str">
        <x:v>周复盘+证据归档</x:v>
      </x:c>
    </x:row>
    <x:row r="219" ht="45" customHeight="1">
      <x:c r="A219" s="11" t="n">
        <x:v>32</x:v>
      </x:c>
      <x:c r="B219" s="11" t="str">
        <x:v>2027-06-07</x:v>
      </x:c>
      <x:c r="C219" s="11" t="str">
        <x:v>一</x:v>
      </x:c>
      <x:c r="D219" s="11" t="str">
        <x:v>SC-3201</x:v>
      </x:c>
      <x:c r="E219" s="11" t="str">
        <x:v>Phase-32 面试与文档</x:v>
      </x:c>
      <x:c r="F219" s="11" t="str">
        <x:v>Must</x:v>
      </x:c>
      <x:c r="G219" s="11" t="str">
        <x:v>设计/合同</x:v>
      </x:c>
      <x:c r="H219" s="11" t="str">
        <x:v>写2分钟业务介绍：用户痛点、业务流程、为何AI在售后环节</x:v>
      </x:c>
      <x:c r="I219" s="11" t="str">
        <x:v>docs/career/story-2min.md</x:v>
      </x:c>
      <x:c r="J219" s="11" t="str">
        <x:v>没有空泛夸大技术价值</x:v>
      </x:c>
      <x:c r="K219" s="11" t="str">
        <x:v>接口异常/数据边界</x:v>
      </x:c>
      <x:c r="L219" s="11" t="str">
        <x:v>核心路径先独立设计与实现；AI仅提示/审查，提交前能口述原理。</x:v>
      </x:c>
      <x:c r="M219" s="14" t="n">
        <x:v>1.5</x:v>
      </x:c>
      <x:c r="N219" s="16"/>
      <x:c r="O219" s="17" t="str">
        <x:v>未开始</x:v>
      </x:c>
      <x:c r="P219" s="17" t="str">
        <x:v>待验收</x:v>
      </x:c>
      <x:c r="Q219" s="17"/>
      <x:c r="R219" s="17"/>
      <x:c r="S219" s="11" t="str">
        <x:f>IF(AND(O219="已完成",P219="通过",LEN(Q219)&gt;0,LEN(R219)&gt;0),"可计入",IF(O219="已取消","已取消","待证据"))</x:f>
        <x:v>待证据</x:v>
      </x:c>
      <x:c r="T219" s="11"/>
      <x:c r="U219" s="11"/>
      <x:c r="V219" s="11"/>
      <x:c r="W219" s="11" t="str">
        <x:v>算法：综合限时2题</x:v>
      </x:c>
    </x:row>
    <x:row r="220" ht="45" customHeight="1">
      <x:c r="A220" s="11" t="n">
        <x:v>32</x:v>
      </x:c>
      <x:c r="B220" s="11" t="str">
        <x:v>2027-06-08</x:v>
      </x:c>
      <x:c r="C220" s="11" t="str">
        <x:v>二</x:v>
      </x:c>
      <x:c r="D220" s="11" t="str">
        <x:v>SC-3202</x:v>
      </x:c>
      <x:c r="E220" s="11" t="str">
        <x:v>Phase-32 面试与文档</x:v>
      </x:c>
      <x:c r="F220" s="11" t="str">
        <x:v>Must</x:v>
      </x:c>
      <x:c r="G220" s="11" t="str">
        <x:v>开发/验证</x:v>
      </x:c>
      <x:c r="H220" s="11" t="str">
        <x:v>画订单事务、Outbox、AI RAG与Tool安全4张架构图</x:v>
      </x:c>
      <x:c r="I220" s="11" t="str">
        <x:v>docs/architecture/diagrams/</x:v>
      </x:c>
      <x:c r="J220" s="11" t="str">
        <x:v>图与真实代码一致</x:v>
      </x:c>
      <x:c r="K220" s="11" t="str">
        <x:v>接口异常/数据边界</x:v>
      </x:c>
      <x:c r="L220" s="11" t="str">
        <x:v>核心路径先独立设计与实现；AI仅提示/审查，提交前能口述原理。</x:v>
      </x:c>
      <x:c r="M220" s="14" t="n">
        <x:v>1.5</x:v>
      </x:c>
      <x:c r="N220" s="16"/>
      <x:c r="O220" s="17" t="str">
        <x:v>未开始</x:v>
      </x:c>
      <x:c r="P220" s="17" t="str">
        <x:v>待验收</x:v>
      </x:c>
      <x:c r="Q220" s="17"/>
      <x:c r="R220" s="17"/>
      <x:c r="S220" s="11" t="str">
        <x:f>IF(AND(O220="已完成",P220="通过",LEN(Q220)&gt;0,LEN(R220)&gt;0),"可计入",IF(O220="已取消","已取消","待证据"))</x:f>
        <x:v>待证据</x:v>
      </x:c>
      <x:c r="T220" s="11"/>
      <x:c r="U220" s="11"/>
      <x:c r="V220" s="11"/>
      <x:c r="W220" s="11" t="str">
        <x:v>基础：综合Java/Spring/MySQL面试</x:v>
      </x:c>
    </x:row>
    <x:row r="221" ht="45" customHeight="1">
      <x:c r="A221" s="11" t="n">
        <x:v>32</x:v>
      </x:c>
      <x:c r="B221" s="11" t="str">
        <x:v>2027-06-09</x:v>
      </x:c>
      <x:c r="C221" s="11" t="str">
        <x:v>三</x:v>
      </x:c>
      <x:c r="D221" s="11" t="str">
        <x:v>SC-3203</x:v>
      </x:c>
      <x:c r="E221" s="11" t="str">
        <x:v>Phase-32 面试与文档</x:v>
      </x:c>
      <x:c r="F221" s="11" t="str">
        <x:v>Must</x:v>
      </x:c>
      <x:c r="G221" s="11" t="str">
        <x:v>开发/验证</x:v>
      </x:c>
      <x:c r="H221" s="11" t="str">
        <x:v>模拟Spring事务、MySQL索引、Redis缓存、MQ幂等深挖</x:v>
      </x:c>
      <x:c r="I221" s="11" t="str">
        <x:v>docs/interview/backend-questions.md</x:v>
      </x:c>
      <x:c r="J221" s="11" t="str">
        <x:v>每题回答包含代码位置和失败案例</x:v>
      </x:c>
      <x:c r="K221" s="11" t="str">
        <x:v>接口异常/数据边界</x:v>
      </x:c>
      <x:c r="L221" s="11" t="str">
        <x:v>核心路径先独立设计与实现；AI仅提示/审查，提交前能口述原理。</x:v>
      </x:c>
      <x:c r="M221" s="14" t="n">
        <x:v>1.5</x:v>
      </x:c>
      <x:c r="N221" s="16"/>
      <x:c r="O221" s="17" t="str">
        <x:v>未开始</x:v>
      </x:c>
      <x:c r="P221" s="17" t="str">
        <x:v>待验收</x:v>
      </x:c>
      <x:c r="Q221" s="17"/>
      <x:c r="R221" s="17"/>
      <x:c r="S221" s="11" t="str">
        <x:f>IF(AND(O221="已完成",P221="通过",LEN(Q221)&gt;0,LEN(R221)&gt;0),"可计入",IF(O221="已取消","已取消","待证据"))</x:f>
        <x:v>待证据</x:v>
      </x:c>
      <x:c r="T221" s="11"/>
      <x:c r="U221" s="11"/>
      <x:c r="V221" s="11"/>
      <x:c r="W221" s="11" t="str">
        <x:v>算法：综合限时2题</x:v>
      </x:c>
    </x:row>
    <x:row r="222" ht="45" customHeight="1">
      <x:c r="A222" s="11" t="n">
        <x:v>32</x:v>
      </x:c>
      <x:c r="B222" s="11" t="str">
        <x:v>2027-06-10</x:v>
      </x:c>
      <x:c r="C222" s="11" t="str">
        <x:v>四</x:v>
      </x:c>
      <x:c r="D222" s="11" t="str">
        <x:v>SC-3204</x:v>
      </x:c>
      <x:c r="E222" s="11" t="str">
        <x:v>Phase-32 面试与文档</x:v>
      </x:c>
      <x:c r="F222" s="11" t="str">
        <x:v>Must</x:v>
      </x:c>
      <x:c r="G222" s="11" t="str">
        <x:v>开发/验证</x:v>
      </x:c>
      <x:c r="H222" s="11" t="str">
        <x:v>模拟RAG、向量检索、工具调用、评测、安全问题</x:v>
      </x:c>
      <x:c r="I222" s="11" t="str">
        <x:v>docs/interview/ai-questions.md</x:v>
      </x:c>
      <x:c r="J222" s="11" t="str">
        <x:v>能说明AI不等于自动可执行权限</x:v>
      </x:c>
      <x:c r="K222" s="11" t="str">
        <x:v>接口异常/数据边界</x:v>
      </x:c>
      <x:c r="L222" s="11" t="str">
        <x:v>核心路径先独立设计与实现；AI仅提示/审查，提交前能口述原理。</x:v>
      </x:c>
      <x:c r="M222" s="14" t="n">
        <x:v>1.5</x:v>
      </x:c>
      <x:c r="N222" s="16"/>
      <x:c r="O222" s="17" t="str">
        <x:v>未开始</x:v>
      </x:c>
      <x:c r="P222" s="17" t="str">
        <x:v>待验收</x:v>
      </x:c>
      <x:c r="Q222" s="17"/>
      <x:c r="R222" s="17"/>
      <x:c r="S222" s="11" t="str">
        <x:f>IF(AND(O222="已完成",P222="通过",LEN(Q222)&gt;0,LEN(R222)&gt;0),"可计入",IF(O222="已取消","已取消","待证据"))</x:f>
        <x:v>待证据</x:v>
      </x:c>
      <x:c r="T222" s="11"/>
      <x:c r="U222" s="11"/>
      <x:c r="V222" s="11"/>
      <x:c r="W222" s="11" t="str">
        <x:v>基础：综合Java/Spring/MySQL面试</x:v>
      </x:c>
    </x:row>
    <x:row r="223" ht="45" customHeight="1">
      <x:c r="A223" s="11" t="n">
        <x:v>32</x:v>
      </x:c>
      <x:c r="B223" s="11" t="str">
        <x:v>2027-06-11</x:v>
      </x:c>
      <x:c r="C223" s="11" t="str">
        <x:v>五</x:v>
      </x:c>
      <x:c r="D223" s="11" t="str">
        <x:v>SC-3205</x:v>
      </x:c>
      <x:c r="E223" s="11" t="str">
        <x:v>Phase-32 面试与文档</x:v>
      </x:c>
      <x:c r="F223" s="11" t="str">
        <x:v>Must</x:v>
      </x:c>
      <x:c r="G223" s="11" t="str">
        <x:v>开发/验证</x:v>
      </x:c>
      <x:c r="H223" s="11" t="str">
        <x:v>无AI在90分钟内实现小型接口+数据库事务，保存Git diff与测试结果</x:v>
      </x:c>
      <x:c r="I223" s="11" t="str">
        <x:v>docs/career/closed-book-challenge.md</x:v>
      </x:c>
      <x:c r="J223" s="11" t="str">
        <x:v>可运行、通过至少2正常2异常测试</x:v>
      </x:c>
      <x:c r="K223" s="11" t="str">
        <x:v>接口异常/数据边界</x:v>
      </x:c>
      <x:c r="L223" s="11" t="str">
        <x:v>独立编码能力是硬指标</x:v>
      </x:c>
      <x:c r="M223" s="14" t="n">
        <x:v>1</x:v>
      </x:c>
      <x:c r="N223" s="16"/>
      <x:c r="O223" s="17" t="str">
        <x:v>未开始</x:v>
      </x:c>
      <x:c r="P223" s="17" t="str">
        <x:v>待验收</x:v>
      </x:c>
      <x:c r="Q223" s="17"/>
      <x:c r="R223" s="17"/>
      <x:c r="S223" s="11" t="str">
        <x:f>IF(AND(O223="已完成",P223="通过",LEN(Q223)&gt;0,LEN(R223)&gt;0),"可计入",IF(O223="已取消","已取消","待证据"))</x:f>
        <x:v>待证据</x:v>
      </x:c>
      <x:c r="T223" s="11"/>
      <x:c r="U223" s="11"/>
      <x:c r="V223" s="11"/>
      <x:c r="W223" s="11" t="str">
        <x:v>算法：综合限时2题</x:v>
      </x:c>
    </x:row>
    <x:row r="224" ht="45" customHeight="1">
      <x:c r="A224" s="11" t="n">
        <x:v>32</x:v>
      </x:c>
      <x:c r="B224" s="11" t="str">
        <x:v>2027-06-12</x:v>
      </x:c>
      <x:c r="C224" s="11" t="str">
        <x:v>六</x:v>
      </x:c>
      <x:c r="D224" s="11" t="str">
        <x:v>SC-3206</x:v>
      </x:c>
      <x:c r="E224" s="11" t="str">
        <x:v>Phase-32 面试与文档</x:v>
      </x:c>
      <x:c r="F224" s="11" t="str">
        <x:v>Must</x:v>
      </x:c>
      <x:c r="G224" s="11" t="str">
        <x:v>开发/验证</x:v>
      </x:c>
      <x:c r="H224" s="11" t="str">
        <x:v>制作2–3分钟演示录像脚本与项目README首屏</x:v>
      </x:c>
      <x:c r="I224" s="11" t="str">
        <x:v>docs/demo/script.md</x:v>
      </x:c>
      <x:c r="J224" s="11" t="str">
        <x:v>能从启动到演示覆盖业务和AI</x:v>
      </x:c>
      <x:c r="K224" s="11" t="str">
        <x:v>接口异常/数据边界</x:v>
      </x:c>
      <x:c r="L224" s="11" t="str">
        <x:v>核心路径先独立设计与实现；AI仅提示/审查，提交前能口述原理。</x:v>
      </x:c>
      <x:c r="M224" s="14" t="n">
        <x:v>2.5</x:v>
      </x:c>
      <x:c r="N224" s="16"/>
      <x:c r="O224" s="17" t="str">
        <x:v>未开始</x:v>
      </x:c>
      <x:c r="P224" s="17" t="str">
        <x:v>待验收</x:v>
      </x:c>
      <x:c r="Q224" s="17"/>
      <x:c r="R224" s="17"/>
      <x:c r="S224" s="11" t="str">
        <x:f>IF(AND(O224="已完成",P224="通过",LEN(Q224)&gt;0,LEN(R224)&gt;0),"可计入",IF(O224="已取消","已取消","待证据"))</x:f>
        <x:v>待证据</x:v>
      </x:c>
      <x:c r="T224" s="11"/>
      <x:c r="U224" s="11"/>
      <x:c r="V224" s="11"/>
      <x:c r="W224" s="11" t="str">
        <x:v>求职/返工缓冲或补测试</x:v>
      </x:c>
    </x:row>
    <x:row r="225" ht="45" customHeight="1">
      <x:c r="A225" s="11" t="n">
        <x:v>32</x:v>
      </x:c>
      <x:c r="B225" s="11" t="str">
        <x:v>2027-06-13</x:v>
      </x:c>
      <x:c r="C225" s="11" t="str">
        <x:v>日</x:v>
      </x:c>
      <x:c r="D225" s="11" t="str">
        <x:v>SC-3207</x:v>
      </x:c>
      <x:c r="E225" s="11" t="str">
        <x:v>Phase-32 面试与文档</x:v>
      </x:c>
      <x:c r="F225" s="11" t="str">
        <x:v>Must</x:v>
      </x:c>
      <x:c r="G225" s="11" t="str">
        <x:v>缓冲/回归</x:v>
      </x:c>
      <x:c r="H225" s="11" t="str">
        <x:v>根据真实投递反馈精简简历/项目说明</x:v>
      </x:c>
      <x:c r="I225" s="11" t="str">
        <x:v>docs/career/resume-v3.md</x:v>
      </x:c>
      <x:c r="J225" s="11" t="str">
        <x:v>每一句都可追溯到PR/测试/指标</x:v>
      </x:c>
      <x:c r="K225" s="11" t="str">
        <x:v>接口异常/数据边界</x:v>
      </x:c>
      <x:c r="L225" s="11" t="str">
        <x:v>核心路径先独立设计与实现；AI仅提示/审查，提交前能口述原理。</x:v>
      </x:c>
      <x:c r="M225" s="14" t="n">
        <x:v>0.5</x:v>
      </x:c>
      <x:c r="N225" s="16"/>
      <x:c r="O225" s="17" t="str">
        <x:v>未开始</x:v>
      </x:c>
      <x:c r="P225" s="17" t="str">
        <x:v>待验收</x:v>
      </x:c>
      <x:c r="Q225" s="17"/>
      <x:c r="R225" s="17"/>
      <x:c r="S225" s="11" t="str">
        <x:f>IF(AND(O225="已完成",P225="通过",LEN(Q225)&gt;0,LEN(R225)&gt;0),"可计入",IF(O225="已取消","已取消","待证据"))</x:f>
        <x:v>待证据</x:v>
      </x:c>
      <x:c r="T225" s="11"/>
      <x:c r="U225" s="11"/>
      <x:c r="V225" s="11"/>
      <x:c r="W225" s="11" t="str">
        <x:v>周复盘+证据归档</x:v>
      </x:c>
    </x:row>
    <x:row r="226" ht="45" customHeight="1">
      <x:c r="A226" s="11" t="n">
        <x:v>33</x:v>
      </x:c>
      <x:c r="B226" s="11" t="str">
        <x:v>2027-06-14</x:v>
      </x:c>
      <x:c r="C226" s="11" t="str">
        <x:v>一</x:v>
      </x:c>
      <x:c r="D226" s="11" t="str">
        <x:v>SC-3301</x:v>
      </x:c>
      <x:c r="E226" s="11" t="str">
        <x:v>Phase-33 求职复盘与补漏</x:v>
      </x:c>
      <x:c r="F226" s="11" t="str">
        <x:v>Should</x:v>
      </x:c>
      <x:c r="G226" s="11" t="str">
        <x:v>设计/合同</x:v>
      </x:c>
      <x:c r="H226" s="11" t="str">
        <x:v>2028届实习职位状态复查，已有投递按反馈排序调整技术补漏</x:v>
      </x:c>
      <x:c r="I226" s="11" t="str">
        <x:v>docs/career/jd-matrix.md + applications.csv</x:v>
      </x:c>
      <x:c r="J226" s="11" t="str">
        <x:v>每个岗位注明是否2028届、链接、官方时间及下一步</x:v>
      </x:c>
      <x:c r="K226" s="11" t="str">
        <x:v>接口异常/数据边界</x:v>
      </x:c>
      <x:c r="L226" s="11" t="str">
        <x:v>求职投入优先于选修技术</x:v>
      </x:c>
      <x:c r="M226" s="14" t="n">
        <x:v>1.5</x:v>
      </x:c>
      <x:c r="N226" s="16"/>
      <x:c r="O226" s="17" t="str">
        <x:v>未开始</x:v>
      </x:c>
      <x:c r="P226" s="17" t="str">
        <x:v>待验收</x:v>
      </x:c>
      <x:c r="Q226" s="17"/>
      <x:c r="R226" s="17"/>
      <x:c r="S226" s="11" t="str">
        <x:f>IF(AND(O226="已完成",P226="通过",LEN(Q226)&gt;0,LEN(R226)&gt;0),"可计入",IF(O226="已取消","已取消","待证据"))</x:f>
        <x:v>待证据</x:v>
      </x:c>
      <x:c r="T226" s="11"/>
      <x:c r="U226" s="11"/>
      <x:c r="V226" s="11"/>
      <x:c r="W226" s="11" t="str">
        <x:v>算法：按面试反馈选题</x:v>
      </x:c>
    </x:row>
    <x:row r="227" ht="45" customHeight="1">
      <x:c r="A227" s="11" t="n">
        <x:v>33</x:v>
      </x:c>
      <x:c r="B227" s="11" t="str">
        <x:v>2027-06-15</x:v>
      </x:c>
      <x:c r="C227" s="11" t="str">
        <x:v>二</x:v>
      </x:c>
      <x:c r="D227" s="11" t="str">
        <x:v>SC-3302</x:v>
      </x:c>
      <x:c r="E227" s="11" t="str">
        <x:v>Phase-33 求职复盘与补漏</x:v>
      </x:c>
      <x:c r="F227" s="11" t="str">
        <x:v>Should</x:v>
      </x:c>
      <x:c r="G227" s="11" t="str">
        <x:v>开发/验证</x:v>
      </x:c>
      <x:c r="H227" s="11" t="str">
        <x:v>将最近笔试的算法薄弱项补两题并手写复盘</x:v>
      </x:c>
      <x:c r="I227" s="11" t="str">
        <x:v>docs/interview/algorithm-log.md</x:v>
      </x:c>
      <x:c r="J227" s="11" t="str">
        <x:v>题目独立重做且能解释边界</x:v>
      </x:c>
      <x:c r="K227" s="11" t="str">
        <x:v>接口异常/数据边界</x:v>
      </x:c>
      <x:c r="L227" s="11" t="str">
        <x:v>核心路径先独立设计与实现；AI仅提示/审查，提交前能口述原理。</x:v>
      </x:c>
      <x:c r="M227" s="14" t="n">
        <x:v>1.5</x:v>
      </x:c>
      <x:c r="N227" s="16"/>
      <x:c r="O227" s="17" t="str">
        <x:v>未开始</x:v>
      </x:c>
      <x:c r="P227" s="17" t="str">
        <x:v>待验收</x:v>
      </x:c>
      <x:c r="Q227" s="17"/>
      <x:c r="R227" s="17"/>
      <x:c r="S227" s="11" t="str">
        <x:f>IF(AND(O227="已完成",P227="通过",LEN(Q227)&gt;0,LEN(R227)&gt;0),"可计入",IF(O227="已取消","已取消","待证据"))</x:f>
        <x:v>待证据</x:v>
      </x:c>
      <x:c r="T227" s="11"/>
      <x:c r="U227" s="11"/>
      <x:c r="V227" s="11"/>
      <x:c r="W227" s="11" t="str">
        <x:v>基础：项目弱项补强</x:v>
      </x:c>
    </x:row>
    <x:row r="228" ht="45" customHeight="1">
      <x:c r="A228" s="11" t="n">
        <x:v>33</x:v>
      </x:c>
      <x:c r="B228" s="11" t="str">
        <x:v>2027-06-16</x:v>
      </x:c>
      <x:c r="C228" s="11" t="str">
        <x:v>三</x:v>
      </x:c>
      <x:c r="D228" s="11" t="str">
        <x:v>SC-3303</x:v>
      </x:c>
      <x:c r="E228" s="11" t="str">
        <x:v>Phase-33 求职复盘与补漏</x:v>
      </x:c>
      <x:c r="F228" s="11" t="str">
        <x:v>Should</x:v>
      </x:c>
      <x:c r="G228" s="11" t="str">
        <x:v>开发/验证</x:v>
      </x:c>
      <x:c r="H228" s="11" t="str">
        <x:v>选择一条面试中答不好的技术问题写最小复现工程</x:v>
      </x:c>
      <x:c r="I228" s="11" t="str">
        <x:v>experiments/interview-gap-01</x:v>
      </x:c>
      <x:c r="J228" s="11" t="str">
        <x:v>代码证明原理，不只抄八股</x:v>
      </x:c>
      <x:c r="K228" s="11" t="str">
        <x:v>接口异常/数据边界</x:v>
      </x:c>
      <x:c r="L228" s="11" t="str">
        <x:v>核心路径先独立设计与实现；AI仅提示/审查，提交前能口述原理。</x:v>
      </x:c>
      <x:c r="M228" s="14" t="n">
        <x:v>1.5</x:v>
      </x:c>
      <x:c r="N228" s="16"/>
      <x:c r="O228" s="17" t="str">
        <x:v>未开始</x:v>
      </x:c>
      <x:c r="P228" s="17" t="str">
        <x:v>待验收</x:v>
      </x:c>
      <x:c r="Q228" s="17"/>
      <x:c r="R228" s="17"/>
      <x:c r="S228" s="11" t="str">
        <x:f>IF(AND(O228="已完成",P228="通过",LEN(Q228)&gt;0,LEN(R228)&gt;0),"可计入",IF(O228="已取消","已取消","待证据"))</x:f>
        <x:v>待证据</x:v>
      </x:c>
      <x:c r="T228" s="11"/>
      <x:c r="U228" s="11"/>
      <x:c r="V228" s="11"/>
      <x:c r="W228" s="11" t="str">
        <x:v>算法：按面试反馈选题</x:v>
      </x:c>
    </x:row>
    <x:row r="229" ht="45" customHeight="1">
      <x:c r="A229" s="11" t="n">
        <x:v>33</x:v>
      </x:c>
      <x:c r="B229" s="11" t="str">
        <x:v>2027-06-17</x:v>
      </x:c>
      <x:c r="C229" s="11" t="str">
        <x:v>四</x:v>
      </x:c>
      <x:c r="D229" s="11" t="str">
        <x:v>SC-3304</x:v>
      </x:c>
      <x:c r="E229" s="11" t="str">
        <x:v>Phase-33 求职复盘与补漏</x:v>
      </x:c>
      <x:c r="F229" s="11" t="str">
        <x:v>Should</x:v>
      </x:c>
      <x:c r="G229" s="11" t="str">
        <x:v>开发/验证</x:v>
      </x:c>
      <x:c r="H229" s="11" t="str">
        <x:v>处理线上模拟环境中最频繁的Bug，提交带测试PR</x:v>
      </x:c>
      <x:c r="I229" s="11" t="str">
        <x:v>issues/ + PR</x:v>
      </x:c>
      <x:c r="J229" s="11" t="str">
        <x:v>提交含复现→修复→回归</x:v>
      </x:c>
      <x:c r="K229" s="11" t="str">
        <x:v>接口异常/数据边界</x:v>
      </x:c>
      <x:c r="L229" s="11" t="str">
        <x:v>核心路径先独立设计与实现；AI仅提示/审查，提交前能口述原理。</x:v>
      </x:c>
      <x:c r="M229" s="14" t="n">
        <x:v>1.5</x:v>
      </x:c>
      <x:c r="N229" s="16"/>
      <x:c r="O229" s="17" t="str">
        <x:v>未开始</x:v>
      </x:c>
      <x:c r="P229" s="17" t="str">
        <x:v>待验收</x:v>
      </x:c>
      <x:c r="Q229" s="17"/>
      <x:c r="R229" s="17"/>
      <x:c r="S229" s="11" t="str">
        <x:f>IF(AND(O229="已完成",P229="通过",LEN(Q229)&gt;0,LEN(R229)&gt;0),"可计入",IF(O229="已取消","已取消","待证据"))</x:f>
        <x:v>待证据</x:v>
      </x:c>
      <x:c r="T229" s="11"/>
      <x:c r="U229" s="11"/>
      <x:c r="V229" s="11"/>
      <x:c r="W229" s="11" t="str">
        <x:v>基础：项目弱项补强</x:v>
      </x:c>
    </x:row>
    <x:row r="230" ht="45" customHeight="1">
      <x:c r="A230" s="11" t="n">
        <x:v>33</x:v>
      </x:c>
      <x:c r="B230" s="11" t="str">
        <x:v>2027-06-18</x:v>
      </x:c>
      <x:c r="C230" s="11" t="str">
        <x:v>五</x:v>
      </x:c>
      <x:c r="D230" s="11" t="str">
        <x:v>SC-3305</x:v>
      </x:c>
      <x:c r="E230" s="11" t="str">
        <x:v>Phase-33 求职复盘与补漏</x:v>
      </x:c>
      <x:c r="F230" s="11" t="str">
        <x:v>Should</x:v>
      </x:c>
      <x:c r="G230" s="11" t="str">
        <x:v>开发/验证</x:v>
      </x:c>
      <x:c r="H230" s="11" t="str">
        <x:v>进行一次同伴模拟面试并收集结构化反馈</x:v>
      </x:c>
      <x:c r="I230" s="11" t="str">
        <x:v>docs/career/mock-interview.md</x:v>
      </x:c>
      <x:c r="J230" s="11" t="str">
        <x:v>区分表达不足与技术理解不足</x:v>
      </x:c>
      <x:c r="K230" s="11" t="str">
        <x:v>接口异常/数据边界</x:v>
      </x:c>
      <x:c r="L230" s="11" t="str">
        <x:v>独立验收时使用L0/L1；AI只在验收后做复盘。</x:v>
      </x:c>
      <x:c r="M230" s="14" t="n">
        <x:v>1</x:v>
      </x:c>
      <x:c r="N230" s="16"/>
      <x:c r="O230" s="17" t="str">
        <x:v>未开始</x:v>
      </x:c>
      <x:c r="P230" s="17" t="str">
        <x:v>待验收</x:v>
      </x:c>
      <x:c r="Q230" s="17"/>
      <x:c r="R230" s="17"/>
      <x:c r="S230" s="11" t="str">
        <x:f>IF(AND(O230="已完成",P230="通过",LEN(Q230)&gt;0,LEN(R230)&gt;0),"可计入",IF(O230="已取消","已取消","待证据"))</x:f>
        <x:v>待证据</x:v>
      </x:c>
      <x:c r="T230" s="11"/>
      <x:c r="U230" s="11"/>
      <x:c r="V230" s="11"/>
      <x:c r="W230" s="11" t="str">
        <x:v>算法：按面试反馈选题</x:v>
      </x:c>
    </x:row>
    <x:row r="231" ht="45" customHeight="1">
      <x:c r="A231" s="11" t="n">
        <x:v>33</x:v>
      </x:c>
      <x:c r="B231" s="11" t="str">
        <x:v>2027-06-19</x:v>
      </x:c>
      <x:c r="C231" s="11" t="str">
        <x:v>六</x:v>
      </x:c>
      <x:c r="D231" s="11" t="str">
        <x:v>SC-3306</x:v>
      </x:c>
      <x:c r="E231" s="11" t="str">
        <x:v>Phase-33 求职复盘与补漏</x:v>
      </x:c>
      <x:c r="F231" s="11" t="str">
        <x:v>Should</x:v>
      </x:c>
      <x:c r="G231" s="11" t="str">
        <x:v>开发/验证</x:v>
      </x:c>
      <x:c r="H231" s="11" t="str">
        <x:v>为最薄弱模块补自动化回归或重构（不要加新框架）</x:v>
      </x:c>
      <x:c r="I231" s="11" t="str">
        <x:v>tests/ + code</x:v>
      </x:c>
      <x:c r="J231" s="11" t="str">
        <x:v>测试失败能阻止回归</x:v>
      </x:c>
      <x:c r="K231" s="11" t="str">
        <x:v>接口异常/数据边界</x:v>
      </x:c>
      <x:c r="L231" s="11" t="str">
        <x:v>核心路径先独立设计与实现；AI仅提示/审查，提交前能口述原理。</x:v>
      </x:c>
      <x:c r="M231" s="14" t="n">
        <x:v>2.5</x:v>
      </x:c>
      <x:c r="N231" s="16"/>
      <x:c r="O231" s="17" t="str">
        <x:v>未开始</x:v>
      </x:c>
      <x:c r="P231" s="17" t="str">
        <x:v>待验收</x:v>
      </x:c>
      <x:c r="Q231" s="17"/>
      <x:c r="R231" s="17"/>
      <x:c r="S231" s="11" t="str">
        <x:f>IF(AND(O231="已完成",P231="通过",LEN(Q231)&gt;0,LEN(R231)&gt;0),"可计入",IF(O231="已取消","已取消","待证据"))</x:f>
        <x:v>待证据</x:v>
      </x:c>
      <x:c r="T231" s="11"/>
      <x:c r="U231" s="11"/>
      <x:c r="V231" s="11"/>
      <x:c r="W231" s="11" t="str">
        <x:v>求职/返工缓冲或补测试</x:v>
      </x:c>
    </x:row>
    <x:row r="232" ht="45" customHeight="1">
      <x:c r="A232" s="11" t="n">
        <x:v>33</x:v>
      </x:c>
      <x:c r="B232" s="11" t="str">
        <x:v>2027-06-20</x:v>
      </x:c>
      <x:c r="C232" s="11" t="str">
        <x:v>日</x:v>
      </x:c>
      <x:c r="D232" s="11" t="str">
        <x:v>SC-3307</x:v>
      </x:c>
      <x:c r="E232" s="11" t="str">
        <x:v>Phase-33 求职复盘与补漏</x:v>
      </x:c>
      <x:c r="F232" s="11" t="str">
        <x:v>Should</x:v>
      </x:c>
      <x:c r="G232" s="11" t="str">
        <x:v>缓冲/回归</x:v>
      </x:c>
      <x:c r="H232" s="11" t="str">
        <x:v>按投递情况更新下周优先级和求职策略</x:v>
      </x:c>
      <x:c r="I232" s="11" t="str">
        <x:v>docs/reviews/week33.md</x:v>
      </x:c>
      <x:c r="J232" s="11" t="str">
        <x:v>明确要继续投递的岗位类型</x:v>
      </x:c>
      <x:c r="K232" s="11" t="str">
        <x:v>接口异常/数据边界</x:v>
      </x:c>
      <x:c r="L232" s="11" t="str">
        <x:v>核心路径先独立设计与实现；AI仅提示/审查，提交前能口述原理。</x:v>
      </x:c>
      <x:c r="M232" s="14" t="n">
        <x:v>0.5</x:v>
      </x:c>
      <x:c r="N232" s="16"/>
      <x:c r="O232" s="17" t="str">
        <x:v>未开始</x:v>
      </x:c>
      <x:c r="P232" s="17" t="str">
        <x:v>待验收</x:v>
      </x:c>
      <x:c r="Q232" s="17"/>
      <x:c r="R232" s="17"/>
      <x:c r="S232" s="11" t="str">
        <x:f>IF(AND(O232="已完成",P232="通过",LEN(Q232)&gt;0,LEN(R232)&gt;0),"可计入",IF(O232="已取消","已取消","待证据"))</x:f>
        <x:v>待证据</x:v>
      </x:c>
      <x:c r="T232" s="11"/>
      <x:c r="U232" s="11"/>
      <x:c r="V232" s="11"/>
      <x:c r="W232" s="11" t="str">
        <x:v>周复盘+证据归档</x:v>
      </x:c>
    </x:row>
    <x:row r="233" ht="45" customHeight="1">
      <x:c r="A233" s="11" t="n">
        <x:v>34</x:v>
      </x:c>
      <x:c r="B233" s="11" t="str">
        <x:v>2027-06-21</x:v>
      </x:c>
      <x:c r="C233" s="11" t="str">
        <x:v>一</x:v>
      </x:c>
      <x:c r="D233" s="11" t="str">
        <x:v>SC-3401</x:v>
      </x:c>
      <x:c r="E233" s="11" t="str">
        <x:v>Phase-34 正式结项</x:v>
      </x:c>
      <x:c r="F233" s="11" t="str">
        <x:v>Must</x:v>
      </x:c>
      <x:c r="G233" s="11" t="str">
        <x:v>设计/合同</x:v>
      </x:c>
      <x:c r="H233" s="11" t="str">
        <x:v>清理演示数据中的个人信息，复核公开仓库与许可证</x:v>
      </x:c>
      <x:c r="I233" s="11" t="str">
        <x:v>release/public-checklist.md</x:v>
      </x:c>
      <x:c r="J233" s="11" t="str">
        <x:v>无API密钥、真实订单、隐私样本</x:v>
      </x:c>
      <x:c r="K233" s="11" t="str">
        <x:v>发布与故障恢复</x:v>
      </x:c>
      <x:c r="L233" s="11" t="str">
        <x:v>核心路径先独立设计与实现；AI仅提示/审查，提交前能口述原理。</x:v>
      </x:c>
      <x:c r="M233" s="14" t="n">
        <x:v>1.5</x:v>
      </x:c>
      <x:c r="N233" s="16"/>
      <x:c r="O233" s="17" t="str">
        <x:v>未开始</x:v>
      </x:c>
      <x:c r="P233" s="17" t="str">
        <x:v>待验收</x:v>
      </x:c>
      <x:c r="Q233" s="17"/>
      <x:c r="R233" s="17"/>
      <x:c r="S233" s="11" t="str">
        <x:f>IF(AND(O233="已完成",P233="通过",LEN(Q233)&gt;0,LEN(R233)&gt;0),"可计入",IF(O233="已取消","已取消","待证据"))</x:f>
        <x:v>待证据</x:v>
      </x:c>
      <x:c r="T233" s="11"/>
      <x:c r="U233" s="11"/>
      <x:c r="V233" s="11"/>
      <x:c r="W233" s="11" t="str">
        <x:v>算法：综合限时2题</x:v>
      </x:c>
    </x:row>
    <x:row r="234" ht="45" customHeight="1">
      <x:c r="A234" s="11" t="n">
        <x:v>34</x:v>
      </x:c>
      <x:c r="B234" s="11" t="str">
        <x:v>2027-06-22</x:v>
      </x:c>
      <x:c r="C234" s="11" t="str">
        <x:v>二</x:v>
      </x:c>
      <x:c r="D234" s="11" t="str">
        <x:v>SC-3402</x:v>
      </x:c>
      <x:c r="E234" s="11" t="str">
        <x:v>Phase-34 正式结项</x:v>
      </x:c>
      <x:c r="F234" s="11" t="str">
        <x:v>Must</x:v>
      </x:c>
      <x:c r="G234" s="11" t="str">
        <x:v>开发/验证</x:v>
      </x:c>
      <x:c r="H234" s="11" t="str">
        <x:v>执行全量CI与重建部署，把失败项修到可解释</x:v>
      </x:c>
      <x:c r="I234" s="11" t="str">
        <x:v>docs/evidence/final-ci.md</x:v>
      </x:c>
      <x:c r="J234" s="11" t="str">
        <x:v>冒烟测试+核心集成测试可重复通过</x:v>
      </x:c>
      <x:c r="K234" s="11" t="str">
        <x:v>发布与故障恢复</x:v>
      </x:c>
      <x:c r="L234" s="11" t="str">
        <x:v>核心路径先独立设计与实现；AI仅提示/审查，提交前能口述原理。</x:v>
      </x:c>
      <x:c r="M234" s="14" t="n">
        <x:v>1.5</x:v>
      </x:c>
      <x:c r="N234" s="16"/>
      <x:c r="O234" s="17" t="str">
        <x:v>未开始</x:v>
      </x:c>
      <x:c r="P234" s="17" t="str">
        <x:v>待验收</x:v>
      </x:c>
      <x:c r="Q234" s="17"/>
      <x:c r="R234" s="17"/>
      <x:c r="S234" s="11" t="str">
        <x:f>IF(AND(O234="已完成",P234="通过",LEN(Q234)&gt;0,LEN(R234)&gt;0),"可计入",IF(O234="已取消","已取消","待证据"))</x:f>
        <x:v>待证据</x:v>
      </x:c>
      <x:c r="T234" s="11"/>
      <x:c r="U234" s="11"/>
      <x:c r="V234" s="11"/>
      <x:c r="W234" s="11" t="str">
        <x:v>基础：全栈追问与质量复盘</x:v>
      </x:c>
    </x:row>
    <x:row r="235" ht="45" customHeight="1">
      <x:c r="A235" s="11" t="n">
        <x:v>34</x:v>
      </x:c>
      <x:c r="B235" s="11" t="str">
        <x:v>2027-06-23</x:v>
      </x:c>
      <x:c r="C235" s="11" t="str">
        <x:v>三</x:v>
      </x:c>
      <x:c r="D235" s="11" t="str">
        <x:v>SC-3403</x:v>
      </x:c>
      <x:c r="E235" s="11" t="str">
        <x:v>Phase-34 正式结项</x:v>
      </x:c>
      <x:c r="F235" s="11" t="str">
        <x:v>Must</x:v>
      </x:c>
      <x:c r="G235" s="11" t="str">
        <x:v>开发/验证</x:v>
      </x:c>
      <x:c r="H235" s="11" t="str">
        <x:v>冻结OpenAPI、ERD、RAG评测、故障手册并建立索引</x:v>
      </x:c>
      <x:c r="I235" s="11" t="str">
        <x:v>docs/INDEX.md</x:v>
      </x:c>
      <x:c r="J235" s="11" t="str">
        <x:v>新读者10分钟能找到关键材料</x:v>
      </x:c>
      <x:c r="K235" s="11" t="str">
        <x:v>发布与故障恢复</x:v>
      </x:c>
      <x:c r="L235" s="11" t="str">
        <x:v>核心路径先独立设计与实现；AI仅提示/审查，提交前能口述原理。</x:v>
      </x:c>
      <x:c r="M235" s="14" t="n">
        <x:v>1.5</x:v>
      </x:c>
      <x:c r="N235" s="16"/>
      <x:c r="O235" s="17" t="str">
        <x:v>未开始</x:v>
      </x:c>
      <x:c r="P235" s="17" t="str">
        <x:v>待验收</x:v>
      </x:c>
      <x:c r="Q235" s="17"/>
      <x:c r="R235" s="17"/>
      <x:c r="S235" s="11" t="str">
        <x:f>IF(AND(O235="已完成",P235="通过",LEN(Q235)&gt;0,LEN(R235)&gt;0),"可计入",IF(O235="已取消","已取消","待证据"))</x:f>
        <x:v>待证据</x:v>
      </x:c>
      <x:c r="T235" s="11"/>
      <x:c r="U235" s="11"/>
      <x:c r="V235" s="11"/>
      <x:c r="W235" s="11" t="str">
        <x:v>算法：综合限时2题</x:v>
      </x:c>
    </x:row>
    <x:row r="236" ht="45" customHeight="1">
      <x:c r="A236" s="11" t="n">
        <x:v>34</x:v>
      </x:c>
      <x:c r="B236" s="11" t="str">
        <x:v>2027-06-24</x:v>
      </x:c>
      <x:c r="C236" s="11" t="str">
        <x:v>四</x:v>
      </x:c>
      <x:c r="D236" s="11" t="str">
        <x:v>SC-3404</x:v>
      </x:c>
      <x:c r="E236" s="11" t="str">
        <x:v>Phase-34 正式结项</x:v>
      </x:c>
      <x:c r="F236" s="11" t="str">
        <x:v>Must</x:v>
      </x:c>
      <x:c r="G236" s="11" t="str">
        <x:v>开发/验证</x:v>
      </x:c>
      <x:c r="H236" s="11" t="str">
        <x:v>生成项目成果证据地图：每条简历内容映射代码、测试、数据、演示</x:v>
      </x:c>
      <x:c r="I236" s="11" t="str">
        <x:v>docs/career/evidence-map.md</x:v>
      </x:c>
      <x:c r="J236" s="11" t="str">
        <x:v>没有真实证据就不写量化提升数字</x:v>
      </x:c>
      <x:c r="K236" s="11" t="str">
        <x:v>发布与故障恢复</x:v>
      </x:c>
      <x:c r="L236" s="11" t="str">
        <x:v>不把本地演练冒充真实生产系统</x:v>
      </x:c>
      <x:c r="M236" s="14" t="n">
        <x:v>1.5</x:v>
      </x:c>
      <x:c r="N236" s="16"/>
      <x:c r="O236" s="17" t="str">
        <x:v>未开始</x:v>
      </x:c>
      <x:c r="P236" s="17" t="str">
        <x:v>待验收</x:v>
      </x:c>
      <x:c r="Q236" s="17"/>
      <x:c r="R236" s="17"/>
      <x:c r="S236" s="11" t="str">
        <x:f>IF(AND(O236="已完成",P236="通过",LEN(Q236)&gt;0,LEN(R236)&gt;0),"可计入",IF(O236="已取消","已取消","待证据"))</x:f>
        <x:v>待证据</x:v>
      </x:c>
      <x:c r="T236" s="11"/>
      <x:c r="U236" s="11"/>
      <x:c r="V236" s="11"/>
      <x:c r="W236" s="11" t="str">
        <x:v>基础：全栈追问与质量复盘</x:v>
      </x:c>
    </x:row>
    <x:row r="237" ht="45" customHeight="1">
      <x:c r="A237" s="11" t="n">
        <x:v>34</x:v>
      </x:c>
      <x:c r="B237" s="11" t="str">
        <x:v>2027-06-25</x:v>
      </x:c>
      <x:c r="C237" s="11" t="str">
        <x:v>五</x:v>
      </x:c>
      <x:c r="D237" s="11" t="str">
        <x:v>SC-3405</x:v>
      </x:c>
      <x:c r="E237" s="11" t="str">
        <x:v>Phase-34 正式结项</x:v>
      </x:c>
      <x:c r="F237" s="11" t="str">
        <x:v>Must</x:v>
      </x:c>
      <x:c r="G237" s="11" t="str">
        <x:v>开发/验证</x:v>
      </x:c>
      <x:c r="H237" s="11" t="str">
        <x:v>最后一次安全与故障复盘：权限、库存、MQ、AI、成本</x:v>
      </x:c>
      <x:c r="I237" s="11" t="str">
        <x:v>docs/qa/final-gate.md</x:v>
      </x:c>
      <x:c r="J237" s="11" t="str">
        <x:v>P0/P1缺陷清零或明确未发布限制</x:v>
      </x:c>
      <x:c r="K237" s="11" t="str">
        <x:v>发布与故障恢复</x:v>
      </x:c>
      <x:c r="L237" s="11" t="str">
        <x:v>独立验收时使用L0/L1；AI只在验收后做复盘。</x:v>
      </x:c>
      <x:c r="M237" s="14" t="n">
        <x:v>1</x:v>
      </x:c>
      <x:c r="N237" s="16"/>
      <x:c r="O237" s="17" t="str">
        <x:v>未开始</x:v>
      </x:c>
      <x:c r="P237" s="17" t="str">
        <x:v>待验收</x:v>
      </x:c>
      <x:c r="Q237" s="17"/>
      <x:c r="R237" s="17"/>
      <x:c r="S237" s="11" t="str">
        <x:f>IF(AND(O237="已完成",P237="通过",LEN(Q237)&gt;0,LEN(R237)&gt;0),"可计入",IF(O237="已取消","已取消","待证据"))</x:f>
        <x:v>待证据</x:v>
      </x:c>
      <x:c r="T237" s="11"/>
      <x:c r="U237" s="11"/>
      <x:c r="V237" s="11"/>
      <x:c r="W237" s="11" t="str">
        <x:v>算法：综合限时2题</x:v>
      </x:c>
    </x:row>
    <x:row r="238" ht="45" customHeight="1">
      <x:c r="A238" s="11" t="n">
        <x:v>34</x:v>
      </x:c>
      <x:c r="B238" s="11" t="str">
        <x:v>2027-06-26</x:v>
      </x:c>
      <x:c r="C238" s="11" t="str">
        <x:v>六</x:v>
      </x:c>
      <x:c r="D238" s="11" t="str">
        <x:v>SC-3406</x:v>
      </x:c>
      <x:c r="E238" s="11" t="str">
        <x:v>Phase-34 正式结项</x:v>
      </x:c>
      <x:c r="F238" s="11" t="str">
        <x:v>Must</x:v>
      </x:c>
      <x:c r="G238" s="11" t="str">
        <x:v>开发/验证</x:v>
      </x:c>
      <x:c r="H238" s="11" t="str">
        <x:v>发布v1.0.0，制作演示录像/动图和最小运行示例</x:v>
      </x:c>
      <x:c r="I238" s="11" t="str">
        <x:v>release/v1.0.0.md</x:v>
      </x:c>
      <x:c r="J238" s="11" t="str">
        <x:v>他人能在测试环境复现订单+RAG+查询</x:v>
      </x:c>
      <x:c r="K238" s="11" t="str">
        <x:v>发布与故障恢复</x:v>
      </x:c>
      <x:c r="L238" s="11" t="str">
        <x:v>核心路径先独立设计与实现；AI仅提示/审查，提交前能口述原理。</x:v>
      </x:c>
      <x:c r="M238" s="14" t="n">
        <x:v>2.5</x:v>
      </x:c>
      <x:c r="N238" s="16"/>
      <x:c r="O238" s="17" t="str">
        <x:v>未开始</x:v>
      </x:c>
      <x:c r="P238" s="17" t="str">
        <x:v>待验收</x:v>
      </x:c>
      <x:c r="Q238" s="17"/>
      <x:c r="R238" s="17"/>
      <x:c r="S238" s="11" t="str">
        <x:f>IF(AND(O238="已完成",P238="通过",LEN(Q238)&gt;0,LEN(R238)&gt;0),"可计入",IF(O238="已取消","已取消","待证据"))</x:f>
        <x:v>待证据</x:v>
      </x:c>
      <x:c r="T238" s="11"/>
      <x:c r="U238" s="11"/>
      <x:c r="V238" s="11"/>
      <x:c r="W238" s="11" t="str">
        <x:v>求职/返工缓冲或补测试</x:v>
      </x:c>
    </x:row>
    <x:row r="239" ht="45" customHeight="1">
      <x:c r="A239" s="11" t="n">
        <x:v>34</x:v>
      </x:c>
      <x:c r="B239" s="11" t="str">
        <x:v>2027-06-27</x:v>
      </x:c>
      <x:c r="C239" s="11" t="str">
        <x:v>日</x:v>
      </x:c>
      <x:c r="D239" s="11" t="str">
        <x:v>SC-3407</x:v>
      </x:c>
      <x:c r="E239" s="11" t="str">
        <x:v>Phase-34 正式结项</x:v>
      </x:c>
      <x:c r="F239" s="11" t="str">
        <x:v>Must</x:v>
      </x:c>
      <x:c r="G239" s="11" t="str">
        <x:v>缓冲/回归</x:v>
      </x:c>
      <x:c r="H239" s="11" t="str">
        <x:v>做34周复盘与后续90天技能路线，继续投递实习</x:v>
      </x:c>
      <x:c r="I239" s="11" t="str">
        <x:v>docs/reviews/final.md</x:v>
      </x:c>
      <x:c r="J239" s="11" t="str">
        <x:v>列出能力证据、未掌握项、下一步实践</x:v>
      </x:c>
      <x:c r="K239" s="11" t="str">
        <x:v>发布与故障恢复</x:v>
      </x:c>
      <x:c r="L239" s="11" t="str">
        <x:v>核心路径先独立设计与实现；AI仅提示/审查，提交前能口述原理。</x:v>
      </x:c>
      <x:c r="M239" s="14" t="n">
        <x:v>0.5</x:v>
      </x:c>
      <x:c r="N239" s="16"/>
      <x:c r="O239" s="17" t="str">
        <x:v>未开始</x:v>
      </x:c>
      <x:c r="P239" s="17" t="str">
        <x:v>待验收</x:v>
      </x:c>
      <x:c r="Q239" s="17"/>
      <x:c r="R239" s="17"/>
      <x:c r="S239" s="11" t="str">
        <x:f>IF(AND(O239="已完成",P239="通过",LEN(Q239)&gt;0,LEN(R239)&gt;0),"可计入",IF(O239="已取消","已取消","待证据"))</x:f>
        <x:v>待证据</x:v>
      </x:c>
      <x:c r="T239" s="11"/>
      <x:c r="U239" s="11"/>
      <x:c r="V239" s="11"/>
      <x:c r="W239" s="11" t="str">
        <x:v>周复盘+证据归档</x:v>
      </x:c>
    </x:row>
  </x:sheetData>
  <x:conditionalFormatting sqref="O2:O239">
    <x:cfRule type="expression" dxfId="0" priority="1">
      <x:formula>$O2="已阻塞"</x:formula>
    </x:cfRule>
  </x:conditionalFormatting>
  <x:conditionalFormatting sqref="S2:S239">
    <x:cfRule type="expression" dxfId="1" priority="2">
      <x:formula>$S2="可计入"</x:formula>
    </x:cfRule>
  </x:conditionalFormatting>
  <x:conditionalFormatting sqref="P2:P239">
    <x:cfRule type="expression" dxfId="2" priority="3">
      <x:formula>$P2="不通过"</x:formula>
    </x:cfRule>
  </x:conditionalFormatting>
  <x:dataValidations count="3">
    <x:dataValidation type="list" sqref="O2:O239">
      <x:formula1>"未开始,进行中,待验收,已完成,已阻塞,已延期,已取消"</x:formula1>
    </x:dataValidation>
    <x:dataValidation type="list" sqref="P2:P239">
      <x:formula1>"待验收,通过,不通过,免检（有说明）"</x:formula1>
    </x:dataValidation>
    <x:dataValidation type="list" sqref="F2:F239">
      <x:formula1>"Must,Should,Could"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8" hidden="0" customWidth="1"/>
    <x:col min="2" max="2" width="14" hidden="0" customWidth="1"/>
    <x:col min="3" max="3" width="14" hidden="0" customWidth="1"/>
    <x:col min="4" max="4" width="25" hidden="0" customWidth="1"/>
    <x:col min="5" max="5" width="58" hidden="0" customWidth="1"/>
    <x:col min="6" max="6" width="45" hidden="0" customWidth="1"/>
    <x:col min="7" max="7" width="13" hidden="0" customWidth="1"/>
    <x:col min="8" max="8" width="14" hidden="0" customWidth="1"/>
    <x:col min="9" max="9" width="13" hidden="0" customWidth="1"/>
    <x:col min="10" max="10" width="14" hidden="0" customWidth="1"/>
    <x:col min="11" max="11" width="15" hidden="0" customWidth="1"/>
    <x:col min="12" max="12" width="14" hidden="0" customWidth="1"/>
    <x:col min="13" max="13" width="16" hidden="0" customWidth="1"/>
    <x:col min="14" max="14" width="62" hidden="0" customWidth="1"/>
  </x:cols>
  <x:sheetData>
    <x:row r="1" ht="32" customHeight="1">
      <x:c r="A1" s="5" t="str">
        <x:v>周次</x:v>
      </x:c>
      <x:c r="B1" s="5" t="str">
        <x:v>开始</x:v>
      </x:c>
      <x:c r="C1" s="5" t="str">
        <x:v>结束</x:v>
      </x:c>
      <x:c r="D1" s="5" t="str">
        <x:v>阶段</x:v>
      </x:c>
      <x:c r="E1" s="5" t="str">
        <x:v>目标</x:v>
      </x:c>
      <x:c r="F1" s="5" t="str">
        <x:v>核心实践</x:v>
      </x:c>
      <x:c r="G1" s="5" t="str">
        <x:v>计划项目h</x:v>
      </x:c>
      <x:c r="H1" s="5" t="str">
        <x:v>已投入项目h</x:v>
      </x:c>
      <x:c r="I1" s="5" t="str">
        <x:v>Must任务数</x:v>
      </x:c>
      <x:c r="J1" s="5" t="str">
        <x:v>Must有效完成</x:v>
      </x:c>
      <x:c r="K1" s="5" t="str">
        <x:v>全部有效完成</x:v>
      </x:c>
      <x:c r="L1" s="5" t="str">
        <x:v>总体完成率</x:v>
      </x:c>
      <x:c r="M1" s="5" t="str">
        <x:v>周验收</x:v>
      </x:c>
      <x:c r="N1" s="5" t="str">
        <x:v>当前阻塞/下周动作</x:v>
      </x:c>
    </x:row>
    <x:row r="2" ht="38" customHeight="1">
      <x:c r="A2" s="11" t="n">
        <x:v>1</x:v>
      </x:c>
      <x:c r="B2" s="11" t="str">
        <x:v>2026-11-02</x:v>
      </x:c>
      <x:c r="C2" s="11" t="str">
        <x:v>2026-11-08</x:v>
      </x:c>
      <x:c r="D2" s="11" t="str">
        <x:v>Phase-01 立项与工程化</x:v>
      </x:c>
      <x:c r="E2" s="11" t="str">
        <x:v>仓库可复现启动，需求与边界明确</x:v>
      </x:c>
      <x:c r="F2" s="11" t="str">
        <x:v>Git/README/ADR/Docker/健康检查</x:v>
      </x:c>
      <x:c r="G2" s="11" t="n">
        <x:v>10</x:v>
      </x:c>
      <x:c r="H2" s="11" t="n">
        <x:f>SUMIF('238天开发工单'!$A$2:$A$239,A2,'238天开发工单'!$N$2:$N$239)</x:f>
        <x:v>0</x:v>
      </x:c>
      <x:c r="I2" s="11" t="n">
        <x:f>COUNTIFS('238天开发工单'!$A$2:$A$239,A2,'238天开发工单'!$F$2:$F$239,"Must")</x:f>
        <x:v>7</x:v>
      </x:c>
      <x:c r="J2" s="11" t="n">
        <x:f>COUNTIFS('238天开发工单'!$A$2:$A$239,A2,'238天开发工单'!$F$2:$F$239,"Must",'238天开发工单'!$S$2:$S$239,"可计入")</x:f>
        <x:v>0</x:v>
      </x:c>
      <x:c r="K2" s="11" t="n">
        <x:f>COUNTIFS('238天开发工单'!$A$2:$A$239,A2,'238天开发工单'!$S$2:$S$239,"可计入")</x:f>
        <x:v>0</x:v>
      </x:c>
      <x:c r="L2" s="20" t="n">
        <x:f>K2/7</x:f>
        <x:v>0</x:v>
      </x:c>
      <x:c r="M2" s="17" t="str">
        <x:v>未验收</x:v>
      </x:c>
      <x:c r="N2" s="17"/>
    </x:row>
    <x:row r="3" ht="38" customHeight="1">
      <x:c r="A3" s="11" t="n">
        <x:v>2</x:v>
      </x:c>
      <x:c r="B3" s="11" t="str">
        <x:v>2026-11-09</x:v>
      </x:c>
      <x:c r="C3" s="11" t="str">
        <x:v>2026-11-15</x:v>
      </x:c>
      <x:c r="D3" s="11" t="str">
        <x:v>Phase-02 商品建模</x:v>
      </x:c>
      <x:c r="E3" s="11" t="str">
        <x:v>商品主数据与SQL迁移可重复部署</x:v>
      </x:c>
      <x:c r="F3" s="11" t="str">
        <x:v>MySQL/Flyway/MyBatis</x:v>
      </x:c>
      <x:c r="G3" s="11" t="n">
        <x:v>10</x:v>
      </x:c>
      <x:c r="H3" s="11" t="n">
        <x:f>SUMIF('238天开发工单'!$A$2:$A$239,A3,'238天开发工单'!$N$2:$N$239)</x:f>
        <x:v>0</x:v>
      </x:c>
      <x:c r="I3" s="11" t="n">
        <x:f>COUNTIFS('238天开发工单'!$A$2:$A$239,A3,'238天开发工单'!$F$2:$F$239,"Must")</x:f>
        <x:v>7</x:v>
      </x:c>
      <x:c r="J3" s="11" t="n">
        <x:f>COUNTIFS('238天开发工单'!$A$2:$A$239,A3,'238天开发工单'!$F$2:$F$239,"Must",'238天开发工单'!$S$2:$S$239,"可计入")</x:f>
        <x:v>0</x:v>
      </x:c>
      <x:c r="K3" s="11" t="n">
        <x:f>COUNTIFS('238天开发工单'!$A$2:$A$239,A3,'238天开发工单'!$S$2:$S$239,"可计入")</x:f>
        <x:v>0</x:v>
      </x:c>
      <x:c r="L3" s="20" t="n">
        <x:f>K3/7</x:f>
        <x:v>0</x:v>
      </x:c>
      <x:c r="M3" s="17" t="str">
        <x:v>未验收</x:v>
      </x:c>
      <x:c r="N3" s="17"/>
    </x:row>
    <x:row r="4" ht="38" customHeight="1">
      <x:c r="A4" s="11" t="n">
        <x:v>3</x:v>
      </x:c>
      <x:c r="B4" s="11" t="str">
        <x:v>2026-11-16</x:v>
      </x:c>
      <x:c r="C4" s="11" t="str">
        <x:v>2026-11-22</x:v>
      </x:c>
      <x:c r="D4" s="11" t="str">
        <x:v>Phase-03 商品接口</x:v>
      </x:c>
      <x:c r="E4" s="11" t="str">
        <x:v>商品CRUD、参数校验、错误规范与测试</x:v>
      </x:c>
      <x:c r="F4" s="11" t="str">
        <x:v>Spring MVC/Jakarta Validation/OpenAPI</x:v>
      </x:c>
      <x:c r="G4" s="11" t="n">
        <x:v>10</x:v>
      </x:c>
      <x:c r="H4" s="11" t="n">
        <x:f>SUMIF('238天开发工单'!$A$2:$A$239,A4,'238天开发工单'!$N$2:$N$239)</x:f>
        <x:v>0</x:v>
      </x:c>
      <x:c r="I4" s="11" t="n">
        <x:f>COUNTIFS('238天开发工单'!$A$2:$A$239,A4,'238天开发工单'!$F$2:$F$239,"Must")</x:f>
        <x:v>7</x:v>
      </x:c>
      <x:c r="J4" s="11" t="n">
        <x:f>COUNTIFS('238天开发工单'!$A$2:$A$239,A4,'238天开发工单'!$F$2:$F$239,"Must",'238天开发工单'!$S$2:$S$239,"可计入")</x:f>
        <x:v>0</x:v>
      </x:c>
      <x:c r="K4" s="11" t="n">
        <x:f>COUNTIFS('238天开发工单'!$A$2:$A$239,A4,'238天开发工单'!$S$2:$S$239,"可计入")</x:f>
        <x:v>0</x:v>
      </x:c>
      <x:c r="L4" s="20" t="n">
        <x:f>K4/7</x:f>
        <x:v>0</x:v>
      </x:c>
      <x:c r="M4" s="17" t="str">
        <x:v>未验收</x:v>
      </x:c>
      <x:c r="N4" s="17"/>
    </x:row>
    <x:row r="5" ht="38" customHeight="1">
      <x:c r="A5" s="11" t="n">
        <x:v>4</x:v>
      </x:c>
      <x:c r="B5" s="11" t="str">
        <x:v>2026-11-23</x:v>
      </x:c>
      <x:c r="C5" s="11" t="str">
        <x:v>2026-11-29</x:v>
      </x:c>
      <x:c r="D5" s="11" t="str">
        <x:v>Phase-04 身份认证</x:v>
      </x:c>
      <x:c r="E5" s="11" t="str">
        <x:v>注册登录、密码安全、用户隔离</x:v>
      </x:c>
      <x:c r="F5" s="11" t="str">
        <x:v>Spring Security/BCrypt/Session或JWT</x:v>
      </x:c>
      <x:c r="G5" s="11" t="n">
        <x:v>10</x:v>
      </x:c>
      <x:c r="H5" s="11" t="n">
        <x:f>SUMIF('238天开发工单'!$A$2:$A$239,A5,'238天开发工单'!$N$2:$N$239)</x:f>
        <x:v>0</x:v>
      </x:c>
      <x:c r="I5" s="11" t="n">
        <x:f>COUNTIFS('238天开发工单'!$A$2:$A$239,A5,'238天开发工单'!$F$2:$F$239,"Must")</x:f>
        <x:v>7</x:v>
      </x:c>
      <x:c r="J5" s="11" t="n">
        <x:f>COUNTIFS('238天开发工单'!$A$2:$A$239,A5,'238天开发工单'!$F$2:$F$239,"Must",'238天开发工单'!$S$2:$S$239,"可计入")</x:f>
        <x:v>0</x:v>
      </x:c>
      <x:c r="K5" s="11" t="n">
        <x:f>COUNTIFS('238天开发工单'!$A$2:$A$239,A5,'238天开发工单'!$S$2:$S$239,"可计入")</x:f>
        <x:v>0</x:v>
      </x:c>
      <x:c r="L5" s="20" t="n">
        <x:f>K5/7</x:f>
        <x:v>0</x:v>
      </x:c>
      <x:c r="M5" s="17" t="str">
        <x:v>未验收</x:v>
      </x:c>
      <x:c r="N5" s="17"/>
    </x:row>
    <x:row r="6" ht="38" customHeight="1">
      <x:c r="A6" s="11" t="n">
        <x:v>5</x:v>
      </x:c>
      <x:c r="B6" s="11" t="str">
        <x:v>2026-11-30</x:v>
      </x:c>
      <x:c r="C6" s="11" t="str">
        <x:v>2026-12-06</x:v>
      </x:c>
      <x:c r="D6" s="11" t="str">
        <x:v>Phase-05 访问控制</x:v>
      </x:c>
      <x:c r="E6" s="11" t="str">
        <x:v>RBAC、资源所有权、审计</x:v>
      </x:c>
      <x:c r="F6" s="11" t="str">
        <x:v>角色/对象级授权</x:v>
      </x:c>
      <x:c r="G6" s="11" t="n">
        <x:v>10</x:v>
      </x:c>
      <x:c r="H6" s="11" t="n">
        <x:f>SUMIF('238天开发工单'!$A$2:$A$239,A6,'238天开发工单'!$N$2:$N$239)</x:f>
        <x:v>0</x:v>
      </x:c>
      <x:c r="I6" s="11" t="n">
        <x:f>COUNTIFS('238天开发工单'!$A$2:$A$239,A6,'238天开发工单'!$F$2:$F$239,"Must")</x:f>
        <x:v>7</x:v>
      </x:c>
      <x:c r="J6" s="11" t="n">
        <x:f>COUNTIFS('238天开发工单'!$A$2:$A$239,A6,'238天开发工单'!$F$2:$F$239,"Must",'238天开发工单'!$S$2:$S$239,"可计入")</x:f>
        <x:v>0</x:v>
      </x:c>
      <x:c r="K6" s="11" t="n">
        <x:f>COUNTIFS('238天开发工单'!$A$2:$A$239,A6,'238天开发工单'!$S$2:$S$239,"可计入")</x:f>
        <x:v>0</x:v>
      </x:c>
      <x:c r="L6" s="20" t="n">
        <x:f>K6/7</x:f>
        <x:v>0</x:v>
      </x:c>
      <x:c r="M6" s="17" t="str">
        <x:v>未验收</x:v>
      </x:c>
      <x:c r="N6" s="17"/>
    </x:row>
    <x:row r="7" ht="38" customHeight="1">
      <x:c r="A7" s="11" t="n">
        <x:v>6</x:v>
      </x:c>
      <x:c r="B7" s="11" t="str">
        <x:v>2026-12-07</x:v>
      </x:c>
      <x:c r="C7" s="11" t="str">
        <x:v>2026-12-13</x:v>
      </x:c>
      <x:c r="D7" s="11" t="str">
        <x:v>Phase-06 购物车</x:v>
      </x:c>
      <x:c r="E7" s="11" t="str">
        <x:v>购物车业务与用户数据隔离</x:v>
      </x:c>
      <x:c r="F7" s="11" t="str">
        <x:v>集合/DTO/MyBatis/事务</x:v>
      </x:c>
      <x:c r="G7" s="11" t="n">
        <x:v>10</x:v>
      </x:c>
      <x:c r="H7" s="11" t="n">
        <x:f>SUMIF('238天开发工单'!$A$2:$A$239,A7,'238天开发工单'!$N$2:$N$239)</x:f>
        <x:v>0</x:v>
      </x:c>
      <x:c r="I7" s="11" t="n">
        <x:f>COUNTIFS('238天开发工单'!$A$2:$A$239,A7,'238天开发工单'!$F$2:$F$239,"Must")</x:f>
        <x:v>7</x:v>
      </x:c>
      <x:c r="J7" s="11" t="n">
        <x:f>COUNTIFS('238天开发工单'!$A$2:$A$239,A7,'238天开发工单'!$F$2:$F$239,"Must",'238天开发工单'!$S$2:$S$239,"可计入")</x:f>
        <x:v>0</x:v>
      </x:c>
      <x:c r="K7" s="11" t="n">
        <x:f>COUNTIFS('238天开发工单'!$A$2:$A$239,A7,'238天开发工单'!$S$2:$S$239,"可计入")</x:f>
        <x:v>0</x:v>
      </x:c>
      <x:c r="L7" s="20" t="n">
        <x:f>K7/7</x:f>
        <x:v>0</x:v>
      </x:c>
      <x:c r="M7" s="17" t="str">
        <x:v>未验收</x:v>
      </x:c>
      <x:c r="N7" s="17"/>
    </x:row>
    <x:row r="8" ht="38" customHeight="1">
      <x:c r="A8" s="11" t="n">
        <x:v>7</x:v>
      </x:c>
      <x:c r="B8" s="11" t="str">
        <x:v>2026-12-14</x:v>
      </x:c>
      <x:c r="C8" s="11" t="str">
        <x:v>2026-12-20</x:v>
      </x:c>
      <x:c r="D8" s="11" t="str">
        <x:v>Phase-07 库存核心</x:v>
      </x:c>
      <x:c r="E8" s="11" t="str">
        <x:v>防超卖的原子库存扣减</x:v>
      </x:c>
      <x:c r="F8" s="11" t="str">
        <x:v>MySQL条件更新/并发</x:v>
      </x:c>
      <x:c r="G8" s="11" t="n">
        <x:v>10</x:v>
      </x:c>
      <x:c r="H8" s="11" t="n">
        <x:f>SUMIF('238天开发工单'!$A$2:$A$239,A8,'238天开发工单'!$N$2:$N$239)</x:f>
        <x:v>0</x:v>
      </x:c>
      <x:c r="I8" s="11" t="n">
        <x:f>COUNTIFS('238天开发工单'!$A$2:$A$239,A8,'238天开发工单'!$F$2:$F$239,"Must")</x:f>
        <x:v>7</x:v>
      </x:c>
      <x:c r="J8" s="11" t="n">
        <x:f>COUNTIFS('238天开发工单'!$A$2:$A$239,A8,'238天开发工单'!$F$2:$F$239,"Must",'238天开发工单'!$S$2:$S$239,"可计入")</x:f>
        <x:v>0</x:v>
      </x:c>
      <x:c r="K8" s="11" t="n">
        <x:f>COUNTIFS('238天开发工单'!$A$2:$A$239,A8,'238天开发工单'!$S$2:$S$239,"可计入")</x:f>
        <x:v>0</x:v>
      </x:c>
      <x:c r="L8" s="20" t="n">
        <x:f>K8/7</x:f>
        <x:v>0</x:v>
      </x:c>
      <x:c r="M8" s="17" t="str">
        <x:v>未验收</x:v>
      </x:c>
      <x:c r="N8" s="17"/>
    </x:row>
    <x:row r="9" ht="38" customHeight="1">
      <x:c r="A9" s="11" t="n">
        <x:v>8</x:v>
      </x:c>
      <x:c r="B9" s="11" t="str">
        <x:v>2026-12-21</x:v>
      </x:c>
      <x:c r="C9" s="11" t="str">
        <x:v>2026-12-27</x:v>
      </x:c>
      <x:c r="D9" s="11" t="str">
        <x:v>Phase-08 下单核心</x:v>
      </x:c>
      <x:c r="E9" s="11" t="str">
        <x:v>创建订单与库存扣减原子一致</x:v>
      </x:c>
      <x:c r="F9" s="11" t="str">
        <x:v>Spring事务/订单状态</x:v>
      </x:c>
      <x:c r="G9" s="11" t="n">
        <x:v>10</x:v>
      </x:c>
      <x:c r="H9" s="11" t="n">
        <x:f>SUMIF('238天开发工单'!$A$2:$A$239,A9,'238天开发工单'!$N$2:$N$239)</x:f>
        <x:v>0</x:v>
      </x:c>
      <x:c r="I9" s="11" t="n">
        <x:f>COUNTIFS('238天开发工单'!$A$2:$A$239,A9,'238天开发工单'!$F$2:$F$239,"Must")</x:f>
        <x:v>7</x:v>
      </x:c>
      <x:c r="J9" s="11" t="n">
        <x:f>COUNTIFS('238天开发工单'!$A$2:$A$239,A9,'238天开发工单'!$F$2:$F$239,"Must",'238天开发工单'!$S$2:$S$239,"可计入")</x:f>
        <x:v>0</x:v>
      </x:c>
      <x:c r="K9" s="11" t="n">
        <x:f>COUNTIFS('238天开发工单'!$A$2:$A$239,A9,'238天开发工单'!$S$2:$S$239,"可计入")</x:f>
        <x:v>0</x:v>
      </x:c>
      <x:c r="L9" s="20" t="n">
        <x:f>K9/7</x:f>
        <x:v>0</x:v>
      </x:c>
      <x:c r="M9" s="17" t="str">
        <x:v>未验收</x:v>
      </x:c>
      <x:c r="N9" s="17"/>
    </x:row>
    <x:row r="10" ht="38" customHeight="1">
      <x:c r="A10" s="11" t="n">
        <x:v>9</x:v>
      </x:c>
      <x:c r="B10" s="11" t="str">
        <x:v>2026-12-28</x:v>
      </x:c>
      <x:c r="C10" s="11" t="str">
        <x:v>2027-01-03</x:v>
      </x:c>
      <x:c r="D10" s="11" t="str">
        <x:v>Phase-09 支付模拟</x:v>
      </x:c>
      <x:c r="E10" s="11" t="str">
        <x:v>可靠的订单状态变更；不接真实资金</x:v>
      </x:c>
      <x:c r="F10" s="11" t="str">
        <x:v>模拟支付回调/状态机</x:v>
      </x:c>
      <x:c r="G10" s="11" t="n">
        <x:v>10</x:v>
      </x:c>
      <x:c r="H10" s="11" t="n">
        <x:f>SUMIF('238天开发工单'!$A$2:$A$239,A10,'238天开发工单'!$N$2:$N$239)</x:f>
        <x:v>0</x:v>
      </x:c>
      <x:c r="I10" s="11" t="n">
        <x:f>COUNTIFS('238天开发工单'!$A$2:$A$239,A10,'238天开发工单'!$F$2:$F$239,"Must")</x:f>
        <x:v>7</x:v>
      </x:c>
      <x:c r="J10" s="11" t="n">
        <x:f>COUNTIFS('238天开发工单'!$A$2:$A$239,A10,'238天开发工单'!$F$2:$F$239,"Must",'238天开发工单'!$S$2:$S$239,"可计入")</x:f>
        <x:v>0</x:v>
      </x:c>
      <x:c r="K10" s="11" t="n">
        <x:f>COUNTIFS('238天开发工单'!$A$2:$A$239,A10,'238天开发工单'!$S$2:$S$239,"可计入")</x:f>
        <x:v>0</x:v>
      </x:c>
      <x:c r="L10" s="20" t="n">
        <x:f>K10/7</x:f>
        <x:v>0</x:v>
      </x:c>
      <x:c r="M10" s="17" t="str">
        <x:v>未验收</x:v>
      </x:c>
      <x:c r="N10" s="17"/>
    </x:row>
    <x:row r="11" ht="38" customHeight="1">
      <x:c r="A11" s="11" t="n">
        <x:v>10</x:v>
      </x:c>
      <x:c r="B11" s="11" t="str">
        <x:v>2027-01-04</x:v>
      </x:c>
      <x:c r="C11" s="11" t="str">
        <x:v>2027-01-10</x:v>
      </x:c>
      <x:c r="D11" s="11" t="str">
        <x:v>Phase-10 取消与售后</x:v>
      </x:c>
      <x:c r="E11" s="11" t="str">
        <x:v>退款申请和库存补偿闭环</x:v>
      </x:c>
      <x:c r="F11" s="11" t="str">
        <x:v>状态机/审计/并发</x:v>
      </x:c>
      <x:c r="G11" s="11" t="n">
        <x:v>10</x:v>
      </x:c>
      <x:c r="H11" s="11" t="n">
        <x:f>SUMIF('238天开发工单'!$A$2:$A$239,A11,'238天开发工单'!$N$2:$N$239)</x:f>
        <x:v>0</x:v>
      </x:c>
      <x:c r="I11" s="11" t="n">
        <x:f>COUNTIFS('238天开发工单'!$A$2:$A$239,A11,'238天开发工单'!$F$2:$F$239,"Must")</x:f>
        <x:v>7</x:v>
      </x:c>
      <x:c r="J11" s="11" t="n">
        <x:f>COUNTIFS('238天开发工单'!$A$2:$A$239,A11,'238天开发工单'!$F$2:$F$239,"Must",'238天开发工单'!$S$2:$S$239,"可计入")</x:f>
        <x:v>0</x:v>
      </x:c>
      <x:c r="K11" s="11" t="n">
        <x:f>COUNTIFS('238天开发工单'!$A$2:$A$239,A11,'238天开发工单'!$S$2:$S$239,"可计入")</x:f>
        <x:v>0</x:v>
      </x:c>
      <x:c r="L11" s="20" t="n">
        <x:f>K11/7</x:f>
        <x:v>0</x:v>
      </x:c>
      <x:c r="M11" s="17" t="str">
        <x:v>未验收</x:v>
      </x:c>
      <x:c r="N11" s="17"/>
    </x:row>
    <x:row r="12" ht="38" customHeight="1">
      <x:c r="A12" s="11" t="n">
        <x:v>11</x:v>
      </x:c>
      <x:c r="B12" s="11" t="str">
        <x:v>2027-01-11</x:v>
      </x:c>
      <x:c r="C12" s="11" t="str">
        <x:v>2027-01-17</x:v>
      </x:c>
      <x:c r="D12" s="11" t="str">
        <x:v>Phase-11 框架深入</x:v>
      </x:c>
      <x:c r="E12" s="11" t="str">
        <x:v>用真实请求定位Spring边界问题</x:v>
      </x:c>
      <x:c r="F12" s="11" t="str">
        <x:v>IoC/AOP/事务/错误处理</x:v>
      </x:c>
      <x:c r="G12" s="11" t="n">
        <x:v>10</x:v>
      </x:c>
      <x:c r="H12" s="11" t="n">
        <x:f>SUMIF('238天开发工单'!$A$2:$A$239,A12,'238天开发工单'!$N$2:$N$239)</x:f>
        <x:v>0</x:v>
      </x:c>
      <x:c r="I12" s="11" t="n">
        <x:f>COUNTIFS('238天开发工单'!$A$2:$A$239,A12,'238天开发工单'!$F$2:$F$239,"Must")</x:f>
        <x:v>7</x:v>
      </x:c>
      <x:c r="J12" s="11" t="n">
        <x:f>COUNTIFS('238天开发工单'!$A$2:$A$239,A12,'238天开发工单'!$F$2:$F$239,"Must",'238天开发工单'!$S$2:$S$239,"可计入")</x:f>
        <x:v>0</x:v>
      </x:c>
      <x:c r="K12" s="11" t="n">
        <x:f>COUNTIFS('238天开发工单'!$A$2:$A$239,A12,'238天开发工单'!$S$2:$S$239,"可计入")</x:f>
        <x:v>0</x:v>
      </x:c>
      <x:c r="L12" s="20" t="n">
        <x:f>K12/7</x:f>
        <x:v>0</x:v>
      </x:c>
      <x:c r="M12" s="17" t="str">
        <x:v>未验收</x:v>
      </x:c>
      <x:c r="N12" s="17"/>
    </x:row>
    <x:row r="13" ht="38" customHeight="1">
      <x:c r="A13" s="11" t="n">
        <x:v>12</x:v>
      </x:c>
      <x:c r="B13" s="11" t="str">
        <x:v>2027-01-18</x:v>
      </x:c>
      <x:c r="C13" s="11" t="str">
        <x:v>2027-01-24</x:v>
      </x:c>
      <x:c r="D13" s="11" t="str">
        <x:v>Phase-12 测试和数据库演进</x:v>
      </x:c>
      <x:c r="E13" s="11" t="str">
        <x:v>数据迁移与自动化测试能抵御重构</x:v>
      </x:c>
      <x:c r="F13" s="11" t="str">
        <x:v>Flyway/JUnit/Testcontainers</x:v>
      </x:c>
      <x:c r="G13" s="11" t="n">
        <x:v>10</x:v>
      </x:c>
      <x:c r="H13" s="11" t="n">
        <x:f>SUMIF('238天开发工单'!$A$2:$A$239,A13,'238天开发工单'!$N$2:$N$239)</x:f>
        <x:v>0</x:v>
      </x:c>
      <x:c r="I13" s="11" t="n">
        <x:f>COUNTIFS('238天开发工单'!$A$2:$A$239,A13,'238天开发工单'!$F$2:$F$239,"Must")</x:f>
        <x:v>7</x:v>
      </x:c>
      <x:c r="J13" s="11" t="n">
        <x:f>COUNTIFS('238天开发工单'!$A$2:$A$239,A13,'238天开发工单'!$F$2:$F$239,"Must",'238天开发工单'!$S$2:$S$239,"可计入")</x:f>
        <x:v>0</x:v>
      </x:c>
      <x:c r="K13" s="11" t="n">
        <x:f>COUNTIFS('238天开发工单'!$A$2:$A$239,A13,'238天开发工单'!$S$2:$S$239,"可计入")</x:f>
        <x:v>0</x:v>
      </x:c>
      <x:c r="L13" s="20" t="n">
        <x:f>K13/7</x:f>
        <x:v>0</x:v>
      </x:c>
      <x:c r="M13" s="17" t="str">
        <x:v>未验收</x:v>
      </x:c>
      <x:c r="N13" s="17"/>
    </x:row>
    <x:row r="14" ht="38" customHeight="1">
      <x:c r="A14" s="11" t="n">
        <x:v>13</x:v>
      </x:c>
      <x:c r="B14" s="11" t="str">
        <x:v>2027-01-25</x:v>
      </x:c>
      <x:c r="C14" s="11" t="str">
        <x:v>2027-01-31</x:v>
      </x:c>
      <x:c r="D14" s="11" t="str">
        <x:v>Phase-13 Redis缓存</x:v>
      </x:c>
      <x:c r="E14" s="11" t="str">
        <x:v>缓存命中、失效、一致性与降级</x:v>
      </x:c>
      <x:c r="F14" s="11" t="str">
        <x:v>Redis/TTL/热点缓存</x:v>
      </x:c>
      <x:c r="G14" s="11" t="n">
        <x:v>10</x:v>
      </x:c>
      <x:c r="H14" s="11" t="n">
        <x:f>SUMIF('238天开发工单'!$A$2:$A$239,A14,'238天开发工单'!$N$2:$N$239)</x:f>
        <x:v>0</x:v>
      </x:c>
      <x:c r="I14" s="11" t="n">
        <x:f>COUNTIFS('238天开发工单'!$A$2:$A$239,A14,'238天开发工单'!$F$2:$F$239,"Must")</x:f>
        <x:v>7</x:v>
      </x:c>
      <x:c r="J14" s="11" t="n">
        <x:f>COUNTIFS('238天开发工单'!$A$2:$A$239,A14,'238天开发工单'!$F$2:$F$239,"Must",'238天开发工单'!$S$2:$S$239,"可计入")</x:f>
        <x:v>0</x:v>
      </x:c>
      <x:c r="K14" s="11" t="n">
        <x:f>COUNTIFS('238天开发工单'!$A$2:$A$239,A14,'238天开发工单'!$S$2:$S$239,"可计入")</x:f>
        <x:v>0</x:v>
      </x:c>
      <x:c r="L14" s="20" t="n">
        <x:f>K14/7</x:f>
        <x:v>0</x:v>
      </x:c>
      <x:c r="M14" s="17" t="str">
        <x:v>未验收</x:v>
      </x:c>
      <x:c r="N14" s="17"/>
    </x:row>
    <x:row r="15" ht="38" customHeight="1">
      <x:c r="A15" s="11" t="n">
        <x:v>14</x:v>
      </x:c>
      <x:c r="B15" s="11" t="str">
        <x:v>2027-02-01</x:v>
      </x:c>
      <x:c r="C15" s="11" t="str">
        <x:v>2027-02-07</x:v>
      </x:c>
      <x:c r="D15" s="11" t="str">
        <x:v>Phase-14 MQ与Outbox</x:v>
      </x:c>
      <x:c r="E15" s="11" t="str">
        <x:v>消息通知在DB提交后可可靠发出</x:v>
      </x:c>
      <x:c r="F15" s="11" t="str">
        <x:v>RabbitMQ/Outbox/重试</x:v>
      </x:c>
      <x:c r="G15" s="11" t="n">
        <x:v>10</x:v>
      </x:c>
      <x:c r="H15" s="11" t="n">
        <x:f>SUMIF('238天开发工单'!$A$2:$A$239,A15,'238天开发工单'!$N$2:$N$239)</x:f>
        <x:v>0</x:v>
      </x:c>
      <x:c r="I15" s="11" t="n">
        <x:f>COUNTIFS('238天开发工单'!$A$2:$A$239,A15,'238天开发工单'!$F$2:$F$239,"Must")</x:f>
        <x:v>7</x:v>
      </x:c>
      <x:c r="J15" s="11" t="n">
        <x:f>COUNTIFS('238天开发工单'!$A$2:$A$239,A15,'238天开发工单'!$F$2:$F$239,"Must",'238天开发工单'!$S$2:$S$239,"可计入")</x:f>
        <x:v>0</x:v>
      </x:c>
      <x:c r="K15" s="11" t="n">
        <x:f>COUNTIFS('238天开发工单'!$A$2:$A$239,A15,'238天开发工单'!$S$2:$S$239,"可计入")</x:f>
        <x:v>0</x:v>
      </x:c>
      <x:c r="L15" s="20" t="n">
        <x:f>K15/7</x:f>
        <x:v>0</x:v>
      </x:c>
      <x:c r="M15" s="17" t="str">
        <x:v>未验收</x:v>
      </x:c>
      <x:c r="N15" s="17"/>
    </x:row>
    <x:row r="16" ht="38" customHeight="1">
      <x:c r="A16" s="11" t="n">
        <x:v>15</x:v>
      </x:c>
      <x:c r="B16" s="11" t="str">
        <x:v>2027-02-08</x:v>
      </x:c>
      <x:c r="C16" s="11" t="str">
        <x:v>2027-02-14</x:v>
      </x:c>
      <x:c r="D16" s="11" t="str">
        <x:v>Phase-15 消息幂等</x:v>
      </x:c>
      <x:c r="E16" s="11" t="str">
        <x:v>至少一次投递下的重复消费与恢复</x:v>
      </x:c>
      <x:c r="F16" s="11" t="str">
        <x:v>Inbox/重试/DLQ</x:v>
      </x:c>
      <x:c r="G16" s="11" t="n">
        <x:v>10</x:v>
      </x:c>
      <x:c r="H16" s="11" t="n">
        <x:f>SUMIF('238天开发工单'!$A$2:$A$239,A16,'238天开发工单'!$N$2:$N$239)</x:f>
        <x:v>0</x:v>
      </x:c>
      <x:c r="I16" s="11" t="n">
        <x:f>COUNTIFS('238天开发工单'!$A$2:$A$239,A16,'238天开发工单'!$F$2:$F$239,"Must")</x:f>
        <x:v>7</x:v>
      </x:c>
      <x:c r="J16" s="11" t="n">
        <x:f>COUNTIFS('238天开发工单'!$A$2:$A$239,A16,'238天开发工单'!$F$2:$F$239,"Must",'238天开发工单'!$S$2:$S$239,"可计入")</x:f>
        <x:v>0</x:v>
      </x:c>
      <x:c r="K16" s="11" t="n">
        <x:f>COUNTIFS('238天开发工单'!$A$2:$A$239,A16,'238天开发工单'!$S$2:$S$239,"可计入")</x:f>
        <x:v>0</x:v>
      </x:c>
      <x:c r="L16" s="20" t="n">
        <x:f>K16/7</x:f>
        <x:v>0</x:v>
      </x:c>
      <x:c r="M16" s="17" t="str">
        <x:v>未验收</x:v>
      </x:c>
      <x:c r="N16" s="17"/>
    </x:row>
    <x:row r="17" ht="38" customHeight="1">
      <x:c r="A17" s="11" t="n">
        <x:v>16</x:v>
      </x:c>
      <x:c r="B17" s="11" t="str">
        <x:v>2027-02-15</x:v>
      </x:c>
      <x:c r="C17" s="11" t="str">
        <x:v>2027-02-21</x:v>
      </x:c>
      <x:c r="D17" s="11" t="str">
        <x:v>Phase-16 首次发布</x:v>
      </x:c>
      <x:c r="E17" s="11" t="str">
        <x:v>可演示、可部署的后端MVP</x:v>
      </x:c>
      <x:c r="F17" s="11" t="str">
        <x:v>Docker/CI/文档</x:v>
      </x:c>
      <x:c r="G17" s="11" t="n">
        <x:v>10</x:v>
      </x:c>
      <x:c r="H17" s="11" t="n">
        <x:f>SUMIF('238天开发工单'!$A$2:$A$239,A17,'238天开发工单'!$N$2:$N$239)</x:f>
        <x:v>0</x:v>
      </x:c>
      <x:c r="I17" s="11" t="n">
        <x:f>COUNTIFS('238天开发工单'!$A$2:$A$239,A17,'238天开发工单'!$F$2:$F$239,"Must")</x:f>
        <x:v>7</x:v>
      </x:c>
      <x:c r="J17" s="11" t="n">
        <x:f>COUNTIFS('238天开发工单'!$A$2:$A$239,A17,'238天开发工单'!$F$2:$F$239,"Must",'238天开发工单'!$S$2:$S$239,"可计入")</x:f>
        <x:v>0</x:v>
      </x:c>
      <x:c r="K17" s="11" t="n">
        <x:f>COUNTIFS('238天开发工单'!$A$2:$A$239,A17,'238天开发工单'!$S$2:$S$239,"可计入")</x:f>
        <x:v>0</x:v>
      </x:c>
      <x:c r="L17" s="20" t="n">
        <x:f>K17/7</x:f>
        <x:v>0</x:v>
      </x:c>
      <x:c r="M17" s="17" t="str">
        <x:v>未验收</x:v>
      </x:c>
      <x:c r="N17" s="17"/>
    </x:row>
    <x:row r="18" ht="38" customHeight="1">
      <x:c r="A18" s="11" t="n">
        <x:v>17</x:v>
      </x:c>
      <x:c r="B18" s="11" t="str">
        <x:v>2027-02-22</x:v>
      </x:c>
      <x:c r="C18" s="11" t="str">
        <x:v>2027-02-28</x:v>
      </x:c>
      <x:c r="D18" s="11" t="str">
        <x:v>Phase-17 实习启动</x:v>
      </x:c>
      <x:c r="E18" s="11" t="str">
        <x:v>实际投递与技术补漏并行</x:v>
      </x:c>
      <x:c r="F18" s="11" t="str">
        <x:v>简历/算法/模拟面试</x:v>
      </x:c>
      <x:c r="G18" s="11" t="n">
        <x:v>10</x:v>
      </x:c>
      <x:c r="H18" s="11" t="n">
        <x:f>SUMIF('238天开发工单'!$A$2:$A$239,A18,'238天开发工单'!$N$2:$N$239)</x:f>
        <x:v>0</x:v>
      </x:c>
      <x:c r="I18" s="11" t="n">
        <x:f>COUNTIFS('238天开发工单'!$A$2:$A$239,A18,'238天开发工单'!$F$2:$F$239,"Must")</x:f>
        <x:v>0</x:v>
      </x:c>
      <x:c r="J18" s="11" t="n">
        <x:f>COUNTIFS('238天开发工单'!$A$2:$A$239,A18,'238天开发工单'!$F$2:$F$239,"Must",'238天开发工单'!$S$2:$S$239,"可计入")</x:f>
        <x:v>0</x:v>
      </x:c>
      <x:c r="K18" s="11" t="n">
        <x:f>COUNTIFS('238天开发工单'!$A$2:$A$239,A18,'238天开发工单'!$S$2:$S$239,"可计入")</x:f>
        <x:v>0</x:v>
      </x:c>
      <x:c r="L18" s="20" t="n">
        <x:f>K18/7</x:f>
        <x:v>0</x:v>
      </x:c>
      <x:c r="M18" s="17" t="str">
        <x:v>未验收</x:v>
      </x:c>
      <x:c r="N18" s="17"/>
    </x:row>
    <x:row r="19" ht="38" customHeight="1">
      <x:c r="A19" s="11" t="n">
        <x:v>18</x:v>
      </x:c>
      <x:c r="B19" s="11" t="str">
        <x:v>2027-03-01</x:v>
      </x:c>
      <x:c r="C19" s="11" t="str">
        <x:v>2027-03-07</x:v>
      </x:c>
      <x:c r="D19" s="11" t="str">
        <x:v>Phase-18 可观测性</x:v>
      </x:c>
      <x:c r="E19" s="11" t="str">
        <x:v>日志/指标/链路追踪/告警可定位故障</x:v>
      </x:c>
      <x:c r="F19" s="11" t="str">
        <x:v>Micrometer/Actuator/Tracing</x:v>
      </x:c>
      <x:c r="G19" s="11" t="n">
        <x:v>10</x:v>
      </x:c>
      <x:c r="H19" s="11" t="n">
        <x:f>SUMIF('238天开发工单'!$A$2:$A$239,A19,'238天开发工单'!$N$2:$N$239)</x:f>
        <x:v>0</x:v>
      </x:c>
      <x:c r="I19" s="11" t="n">
        <x:f>COUNTIFS('238天开发工单'!$A$2:$A$239,A19,'238天开发工单'!$F$2:$F$239,"Must")</x:f>
        <x:v>0</x:v>
      </x:c>
      <x:c r="J19" s="11" t="n">
        <x:f>COUNTIFS('238天开发工单'!$A$2:$A$239,A19,'238天开发工单'!$F$2:$F$239,"Must",'238天开发工单'!$S$2:$S$239,"可计入")</x:f>
        <x:v>0</x:v>
      </x:c>
      <x:c r="K19" s="11" t="n">
        <x:f>COUNTIFS('238天开发工单'!$A$2:$A$239,A19,'238天开发工单'!$S$2:$S$239,"可计入")</x:f>
        <x:v>0</x:v>
      </x:c>
      <x:c r="L19" s="20" t="n">
        <x:f>K19/7</x:f>
        <x:v>0</x:v>
      </x:c>
      <x:c r="M19" s="17" t="str">
        <x:v>未验收</x:v>
      </x:c>
      <x:c r="N19" s="17"/>
    </x:row>
    <x:row r="20" ht="38" customHeight="1">
      <x:c r="A20" s="11" t="n">
        <x:v>19</x:v>
      </x:c>
      <x:c r="B20" s="11" t="str">
        <x:v>2027-03-08</x:v>
      </x:c>
      <x:c r="C20" s="11" t="str">
        <x:v>2027-03-14</x:v>
      </x:c>
      <x:c r="D20" s="11" t="str">
        <x:v>Phase-19 AI接入底座</x:v>
      </x:c>
      <x:c r="E20" s="11" t="str">
        <x:v>模型服务可替换、可测试、可降级</x:v>
      </x:c>
      <x:c r="F20" s="11" t="str">
        <x:v>Spring AI/ModelProvider</x:v>
      </x:c>
      <x:c r="G20" s="11" t="n">
        <x:v>10</x:v>
      </x:c>
      <x:c r="H20" s="11" t="n">
        <x:f>SUMIF('238天开发工单'!$A$2:$A$239,A20,'238天开发工单'!$N$2:$N$239)</x:f>
        <x:v>0</x:v>
      </x:c>
      <x:c r="I20" s="11" t="n">
        <x:f>COUNTIFS('238天开发工单'!$A$2:$A$239,A20,'238天开发工单'!$F$2:$F$239,"Must")</x:f>
        <x:v>7</x:v>
      </x:c>
      <x:c r="J20" s="11" t="n">
        <x:f>COUNTIFS('238天开发工单'!$A$2:$A$239,A20,'238天开发工单'!$F$2:$F$239,"Must",'238天开发工单'!$S$2:$S$239,"可计入")</x:f>
        <x:v>0</x:v>
      </x:c>
      <x:c r="K20" s="11" t="n">
        <x:f>COUNTIFS('238天开发工单'!$A$2:$A$239,A20,'238天开发工单'!$S$2:$S$239,"可计入")</x:f>
        <x:v>0</x:v>
      </x:c>
      <x:c r="L20" s="20" t="n">
        <x:f>K20/7</x:f>
        <x:v>0</x:v>
      </x:c>
      <x:c r="M20" s="17" t="str">
        <x:v>未验收</x:v>
      </x:c>
      <x:c r="N20" s="17"/>
    </x:row>
    <x:row r="21" ht="38" customHeight="1">
      <x:c r="A21" s="11" t="n">
        <x:v>20</x:v>
      </x:c>
      <x:c r="B21" s="11" t="str">
        <x:v>2027-03-15</x:v>
      </x:c>
      <x:c r="C21" s="11" t="str">
        <x:v>2027-03-21</x:v>
      </x:c>
      <x:c r="D21" s="11" t="str">
        <x:v>Phase-20 AI对话体验</x:v>
      </x:c>
      <x:c r="E21" s="11" t="str">
        <x:v>对话管理与可控的流式交互</x:v>
      </x:c>
      <x:c r="F21" s="11" t="str">
        <x:v>SSE/会话隔离/提示词版本</x:v>
      </x:c>
      <x:c r="G21" s="11" t="n">
        <x:v>10</x:v>
      </x:c>
      <x:c r="H21" s="11" t="n">
        <x:f>SUMIF('238天开发工单'!$A$2:$A$239,A21,'238天开发工单'!$N$2:$N$239)</x:f>
        <x:v>0</x:v>
      </x:c>
      <x:c r="I21" s="11" t="n">
        <x:f>COUNTIFS('238天开发工单'!$A$2:$A$239,A21,'238天开发工单'!$F$2:$F$239,"Must")</x:f>
        <x:v>7</x:v>
      </x:c>
      <x:c r="J21" s="11" t="n">
        <x:f>COUNTIFS('238天开发工单'!$A$2:$A$239,A21,'238天开发工单'!$F$2:$F$239,"Must",'238天开发工单'!$S$2:$S$239,"可计入")</x:f>
        <x:v>0</x:v>
      </x:c>
      <x:c r="K21" s="11" t="n">
        <x:f>COUNTIFS('238天开发工单'!$A$2:$A$239,A21,'238天开发工单'!$S$2:$S$239,"可计入")</x:f>
        <x:v>0</x:v>
      </x:c>
      <x:c r="L21" s="20" t="n">
        <x:f>K21/7</x:f>
        <x:v>0</x:v>
      </x:c>
      <x:c r="M21" s="17" t="str">
        <x:v>未验收</x:v>
      </x:c>
      <x:c r="N21" s="17"/>
    </x:row>
    <x:row r="22" ht="38" customHeight="1">
      <x:c r="A22" s="11" t="n">
        <x:v>21</x:v>
      </x:c>
      <x:c r="B22" s="11" t="str">
        <x:v>2027-03-22</x:v>
      </x:c>
      <x:c r="C22" s="11" t="str">
        <x:v>2027-03-28</x:v>
      </x:c>
      <x:c r="D22" s="11" t="str">
        <x:v>Phase-21 RAG知识库构建</x:v>
      </x:c>
      <x:c r="E22" s="11" t="str">
        <x:v>可维护的售后知识库和检索索引</x:v>
      </x:c>
      <x:c r="F22" s="11" t="str">
        <x:v>文档清洗/切块/向量</x:v>
      </x:c>
      <x:c r="G22" s="11" t="n">
        <x:v>10</x:v>
      </x:c>
      <x:c r="H22" s="11" t="n">
        <x:f>SUMIF('238天开发工单'!$A$2:$A$239,A22,'238天开发工单'!$N$2:$N$239)</x:f>
        <x:v>0</x:v>
      </x:c>
      <x:c r="I22" s="11" t="n">
        <x:f>COUNTIFS('238天开发工单'!$A$2:$A$239,A22,'238天开发工单'!$F$2:$F$239,"Must")</x:f>
        <x:v>7</x:v>
      </x:c>
      <x:c r="J22" s="11" t="n">
        <x:f>COUNTIFS('238天开发工单'!$A$2:$A$239,A22,'238天开发工单'!$F$2:$F$239,"Must",'238天开发工单'!$S$2:$S$239,"可计入")</x:f>
        <x:v>0</x:v>
      </x:c>
      <x:c r="K22" s="11" t="n">
        <x:f>COUNTIFS('238天开发工单'!$A$2:$A$239,A22,'238天开发工单'!$S$2:$S$239,"可计入")</x:f>
        <x:v>0</x:v>
      </x:c>
      <x:c r="L22" s="20" t="n">
        <x:f>K22/7</x:f>
        <x:v>0</x:v>
      </x:c>
      <x:c r="M22" s="17" t="str">
        <x:v>未验收</x:v>
      </x:c>
      <x:c r="N22" s="17"/>
    </x:row>
    <x:row r="23" ht="38" customHeight="1">
      <x:c r="A23" s="11" t="n">
        <x:v>22</x:v>
      </x:c>
      <x:c r="B23" s="11" t="str">
        <x:v>2027-03-29</x:v>
      </x:c>
      <x:c r="C23" s="11" t="str">
        <x:v>2027-04-04</x:v>
      </x:c>
      <x:c r="D23" s="11" t="str">
        <x:v>Phase-22 RAG质量评测</x:v>
      </x:c>
      <x:c r="E23" s="11" t="str">
        <x:v>回答必须有证据并能拒答</x:v>
      </x:c>
      <x:c r="F23" s="11" t="str">
        <x:v>RAG/引用/评估</x:v>
      </x:c>
      <x:c r="G23" s="11" t="n">
        <x:v>10</x:v>
      </x:c>
      <x:c r="H23" s="11" t="n">
        <x:f>SUMIF('238天开发工单'!$A$2:$A$239,A23,'238天开发工单'!$N$2:$N$239)</x:f>
        <x:v>0</x:v>
      </x:c>
      <x:c r="I23" s="11" t="n">
        <x:f>COUNTIFS('238天开发工单'!$A$2:$A$239,A23,'238天开发工单'!$F$2:$F$239,"Must")</x:f>
        <x:v>7</x:v>
      </x:c>
      <x:c r="J23" s="11" t="n">
        <x:f>COUNTIFS('238天开发工单'!$A$2:$A$239,A23,'238天开发工单'!$F$2:$F$239,"Must",'238天开发工单'!$S$2:$S$239,"可计入")</x:f>
        <x:v>0</x:v>
      </x:c>
      <x:c r="K23" s="11" t="n">
        <x:f>COUNTIFS('238天开发工单'!$A$2:$A$239,A23,'238天开发工单'!$S$2:$S$239,"可计入")</x:f>
        <x:v>0</x:v>
      </x:c>
      <x:c r="L23" s="20" t="n">
        <x:f>K23/7</x:f>
        <x:v>0</x:v>
      </x:c>
      <x:c r="M23" s="17" t="str">
        <x:v>未验收</x:v>
      </x:c>
      <x:c r="N23" s="17"/>
    </x:row>
    <x:row r="24" ht="38" customHeight="1">
      <x:c r="A24" s="11" t="n">
        <x:v>23</x:v>
      </x:c>
      <x:c r="B24" s="11" t="str">
        <x:v>2027-04-05</x:v>
      </x:c>
      <x:c r="C24" s="11" t="str">
        <x:v>2027-04-11</x:v>
      </x:c>
      <x:c r="D24" s="11" t="str">
        <x:v>Phase-23 Tool Calling</x:v>
      </x:c>
      <x:c r="E24" s="11" t="str">
        <x:v>让AI查询订单，但模型永远不决定权限</x:v>
      </x:c>
      <x:c r="F24" s="11" t="str">
        <x:v>工具调用/对象级授权</x:v>
      </x:c>
      <x:c r="G24" s="11" t="n">
        <x:v>10</x:v>
      </x:c>
      <x:c r="H24" s="11" t="n">
        <x:f>SUMIF('238天开发工单'!$A$2:$A$239,A24,'238天开发工单'!$N$2:$N$239)</x:f>
        <x:v>0</x:v>
      </x:c>
      <x:c r="I24" s="11" t="n">
        <x:f>COUNTIFS('238天开发工单'!$A$2:$A$239,A24,'238天开发工单'!$F$2:$F$239,"Must")</x:f>
        <x:v>7</x:v>
      </x:c>
      <x:c r="J24" s="11" t="n">
        <x:f>COUNTIFS('238天开发工单'!$A$2:$A$239,A24,'238天开发工单'!$F$2:$F$239,"Must",'238天开发工单'!$S$2:$S$239,"可计入")</x:f>
        <x:v>0</x:v>
      </x:c>
      <x:c r="K24" s="11" t="n">
        <x:f>COUNTIFS('238天开发工单'!$A$2:$A$239,A24,'238天开发工单'!$S$2:$S$239,"可计入")</x:f>
        <x:v>0</x:v>
      </x:c>
      <x:c r="L24" s="20" t="n">
        <x:f>K24/7</x:f>
        <x:v>0</x:v>
      </x:c>
      <x:c r="M24" s="17" t="str">
        <x:v>未验收</x:v>
      </x:c>
      <x:c r="N24" s="17"/>
    </x:row>
    <x:row r="25" ht="38" customHeight="1">
      <x:c r="A25" s="11" t="n">
        <x:v>24</x:v>
      </x:c>
      <x:c r="B25" s="11" t="str">
        <x:v>2027-04-12</x:v>
      </x:c>
      <x:c r="C25" s="11" t="str">
        <x:v>2027-04-18</x:v>
      </x:c>
      <x:c r="D25" s="11" t="str">
        <x:v>Phase-24 AI安全</x:v>
      </x:c>
      <x:c r="E25" s="11" t="str">
        <x:v>注入、泄露、越权和输出风险具备防线</x:v>
      </x:c>
      <x:c r="F25" s="11" t="str">
        <x:v>OWASP LLM/Security testing</x:v>
      </x:c>
      <x:c r="G25" s="11" t="n">
        <x:v>10</x:v>
      </x:c>
      <x:c r="H25" s="11" t="n">
        <x:f>SUMIF('238天开发工单'!$A$2:$A$239,A25,'238天开发工单'!$N$2:$N$239)</x:f>
        <x:v>0</x:v>
      </x:c>
      <x:c r="I25" s="11" t="n">
        <x:f>COUNTIFS('238天开发工单'!$A$2:$A$239,A25,'238天开发工单'!$F$2:$F$239,"Must")</x:f>
        <x:v>7</x:v>
      </x:c>
      <x:c r="J25" s="11" t="n">
        <x:f>COUNTIFS('238天开发工单'!$A$2:$A$239,A25,'238天开发工单'!$F$2:$F$239,"Must",'238天开发工单'!$S$2:$S$239,"可计入")</x:f>
        <x:v>0</x:v>
      </x:c>
      <x:c r="K25" s="11" t="n">
        <x:f>COUNTIFS('238天开发工单'!$A$2:$A$239,A25,'238天开发工单'!$S$2:$S$239,"可计入")</x:f>
        <x:v>0</x:v>
      </x:c>
      <x:c r="L25" s="20" t="n">
        <x:f>K25/7</x:f>
        <x:v>0</x:v>
      </x:c>
      <x:c r="M25" s="17" t="str">
        <x:v>未验收</x:v>
      </x:c>
      <x:c r="N25" s="17"/>
    </x:row>
    <x:row r="26" ht="38" customHeight="1">
      <x:c r="A26" s="11" t="n">
        <x:v>25</x:v>
      </x:c>
      <x:c r="B26" s="11" t="str">
        <x:v>2027-04-19</x:v>
      </x:c>
      <x:c r="C26" s="11" t="str">
        <x:v>2027-04-25</x:v>
      </x:c>
      <x:c r="D26" s="11" t="str">
        <x:v>Phase-25 AI可靠性和成本</x:v>
      </x:c>
      <x:c r="E26" s="11" t="str">
        <x:v>AI服务可观测、可限额、可降级</x:v>
      </x:c>
      <x:c r="F26" s="11" t="str">
        <x:v>预算/监控/失败策略</x:v>
      </x:c>
      <x:c r="G26" s="11" t="n">
        <x:v>10</x:v>
      </x:c>
      <x:c r="H26" s="11" t="n">
        <x:f>SUMIF('238天开发工单'!$A$2:$A$239,A26,'238天开发工单'!$N$2:$N$239)</x:f>
        <x:v>0</x:v>
      </x:c>
      <x:c r="I26" s="11" t="n">
        <x:f>COUNTIFS('238天开发工单'!$A$2:$A$239,A26,'238天开发工单'!$F$2:$F$239,"Must")</x:f>
        <x:v>3</x:v>
      </x:c>
      <x:c r="J26" s="11" t="n">
        <x:f>COUNTIFS('238天开发工单'!$A$2:$A$239,A26,'238天开发工单'!$F$2:$F$239,"Must",'238天开发工单'!$S$2:$S$239,"可计入")</x:f>
        <x:v>0</x:v>
      </x:c>
      <x:c r="K26" s="11" t="n">
        <x:f>COUNTIFS('238天开发工单'!$A$2:$A$239,A26,'238天开发工单'!$S$2:$S$239,"可计入")</x:f>
        <x:v>0</x:v>
      </x:c>
      <x:c r="L26" s="20" t="n">
        <x:f>K26/7</x:f>
        <x:v>0</x:v>
      </x:c>
      <x:c r="M26" s="17" t="str">
        <x:v>未验收</x:v>
      </x:c>
      <x:c r="N26" s="17"/>
    </x:row>
    <x:row r="27" ht="38" customHeight="1">
      <x:c r="A27" s="11" t="n">
        <x:v>26</x:v>
      </x:c>
      <x:c r="B27" s="11" t="str">
        <x:v>2027-04-26</x:v>
      </x:c>
      <x:c r="C27" s="11" t="str">
        <x:v>2027-05-02</x:v>
      </x:c>
      <x:c r="D27" s="11" t="str">
        <x:v>Phase-26 工单辅助</x:v>
      </x:c>
      <x:c r="E27" s="11" t="str">
        <x:v>AI生成草稿，关键操作保留人工确认</x:v>
      </x:c>
      <x:c r="F27" s="11" t="str">
        <x:v>人工审核/异步任务</x:v>
      </x:c>
      <x:c r="G27" s="11" t="n">
        <x:v>10</x:v>
      </x:c>
      <x:c r="H27" s="11" t="n">
        <x:f>SUMIF('238天开发工单'!$A$2:$A$239,A27,'238天开发工单'!$N$2:$N$239)</x:f>
        <x:v>0</x:v>
      </x:c>
      <x:c r="I27" s="11" t="n">
        <x:f>COUNTIFS('238天开发工单'!$A$2:$A$239,A27,'238天开发工单'!$F$2:$F$239,"Must")</x:f>
        <x:v>1</x:v>
      </x:c>
      <x:c r="J27" s="11" t="n">
        <x:f>COUNTIFS('238天开发工单'!$A$2:$A$239,A27,'238天开发工单'!$F$2:$F$239,"Must",'238天开发工单'!$S$2:$S$239,"可计入")</x:f>
        <x:v>0</x:v>
      </x:c>
      <x:c r="K27" s="11" t="n">
        <x:f>COUNTIFS('238天开发工单'!$A$2:$A$239,A27,'238天开发工单'!$S$2:$S$239,"可计入")</x:f>
        <x:v>0</x:v>
      </x:c>
      <x:c r="L27" s="20" t="n">
        <x:f>K27/7</x:f>
        <x:v>0</x:v>
      </x:c>
      <x:c r="M27" s="17" t="str">
        <x:v>未验收</x:v>
      </x:c>
      <x:c r="N27" s="17"/>
    </x:row>
    <x:row r="28" ht="38" customHeight="1">
      <x:c r="A28" s="11" t="n">
        <x:v>27</x:v>
      </x:c>
      <x:c r="B28" s="11" t="str">
        <x:v>2027-05-03</x:v>
      </x:c>
      <x:c r="C28" s="11" t="str">
        <x:v>2027-05-09</x:v>
      </x:c>
      <x:c r="D28" s="11" t="str">
        <x:v>Phase-27 MCP与接口治理</x:v>
      </x:c>
      <x:c r="E28" s="11" t="str">
        <x:v>理解协议边界，不为追热点破坏主架构</x:v>
      </x:c>
      <x:c r="F28" s="11" t="str">
        <x:v>MCP可选/Tool Contract</x:v>
      </x:c>
      <x:c r="G28" s="11" t="n">
        <x:v>10</x:v>
      </x:c>
      <x:c r="H28" s="11" t="n">
        <x:f>SUMIF('238天开发工单'!$A$2:$A$239,A28,'238天开发工单'!$N$2:$N$239)</x:f>
        <x:v>0</x:v>
      </x:c>
      <x:c r="I28" s="11" t="n">
        <x:f>COUNTIFS('238天开发工单'!$A$2:$A$239,A28,'238天开发工单'!$F$2:$F$239,"Must")</x:f>
        <x:v>2</x:v>
      </x:c>
      <x:c r="J28" s="11" t="n">
        <x:f>COUNTIFS('238天开发工单'!$A$2:$A$239,A28,'238天开发工单'!$F$2:$F$239,"Must",'238天开发工单'!$S$2:$S$239,"可计入")</x:f>
        <x:v>0</x:v>
      </x:c>
      <x:c r="K28" s="11" t="n">
        <x:f>COUNTIFS('238天开发工单'!$A$2:$A$239,A28,'238天开发工单'!$S$2:$S$239,"可计入")</x:f>
        <x:v>0</x:v>
      </x:c>
      <x:c r="L28" s="20" t="n">
        <x:f>K28/7</x:f>
        <x:v>0</x:v>
      </x:c>
      <x:c r="M28" s="17" t="str">
        <x:v>未验收</x:v>
      </x:c>
      <x:c r="N28" s="17"/>
    </x:row>
    <x:row r="29" ht="38" customHeight="1">
      <x:c r="A29" s="11" t="n">
        <x:v>28</x:v>
      </x:c>
      <x:c r="B29" s="11" t="str">
        <x:v>2027-05-10</x:v>
      </x:c>
      <x:c r="C29" s="11" t="str">
        <x:v>2027-05-16</x:v>
      </x:c>
      <x:c r="D29" s="11" t="str">
        <x:v>Phase-28 性能优化</x:v>
      </x:c>
      <x:c r="E29" s="11" t="str">
        <x:v>用证据定位瓶颈而非声称百万QPS</x:v>
      </x:c>
      <x:c r="F29" s="11" t="str">
        <x:v>JMeter/k6/EXPLAIN/JVM</x:v>
      </x:c>
      <x:c r="G29" s="11" t="n">
        <x:v>10</x:v>
      </x:c>
      <x:c r="H29" s="11" t="n">
        <x:f>SUMIF('238天开发工单'!$A$2:$A$239,A29,'238天开发工单'!$N$2:$N$239)</x:f>
        <x:v>0</x:v>
      </x:c>
      <x:c r="I29" s="11" t="n">
        <x:f>COUNTIFS('238天开发工单'!$A$2:$A$239,A29,'238天开发工单'!$F$2:$F$239,"Must")</x:f>
        <x:v>7</x:v>
      </x:c>
      <x:c r="J29" s="11" t="n">
        <x:f>COUNTIFS('238天开发工单'!$A$2:$A$239,A29,'238天开发工单'!$F$2:$F$239,"Must",'238天开发工单'!$S$2:$S$239,"可计入")</x:f>
        <x:v>0</x:v>
      </x:c>
      <x:c r="K29" s="11" t="n">
        <x:f>COUNTIFS('238天开发工单'!$A$2:$A$239,A29,'238天开发工单'!$S$2:$S$239,"可计入")</x:f>
        <x:v>0</x:v>
      </x:c>
      <x:c r="L29" s="20" t="n">
        <x:f>K29/7</x:f>
        <x:v>0</x:v>
      </x:c>
      <x:c r="M29" s="17" t="str">
        <x:v>未验收</x:v>
      </x:c>
      <x:c r="N29" s="17"/>
    </x:row>
    <x:row r="30" ht="38" customHeight="1">
      <x:c r="A30" s="11" t="n">
        <x:v>29</x:v>
      </x:c>
      <x:c r="B30" s="11" t="str">
        <x:v>2027-05-17</x:v>
      </x:c>
      <x:c r="C30" s="11" t="str">
        <x:v>2027-05-23</x:v>
      </x:c>
      <x:c r="D30" s="11" t="str">
        <x:v>Phase-29 故障注入</x:v>
      </x:c>
      <x:c r="E30" s="11" t="str">
        <x:v>模拟实际线上故障和恢复流程</x:v>
      </x:c>
      <x:c r="F30" s="11" t="str">
        <x:v>Chaos-lite/备份/补偿</x:v>
      </x:c>
      <x:c r="G30" s="11" t="n">
        <x:v>10</x:v>
      </x:c>
      <x:c r="H30" s="11" t="n">
        <x:f>SUMIF('238天开发工单'!$A$2:$A$239,A30,'238天开发工单'!$N$2:$N$239)</x:f>
        <x:v>0</x:v>
      </x:c>
      <x:c r="I30" s="11" t="n">
        <x:f>COUNTIFS('238天开发工单'!$A$2:$A$239,A30,'238天开发工单'!$F$2:$F$239,"Must")</x:f>
        <x:v>7</x:v>
      </x:c>
      <x:c r="J30" s="11" t="n">
        <x:f>COUNTIFS('238天开发工单'!$A$2:$A$239,A30,'238天开发工单'!$F$2:$F$239,"Must",'238天开发工单'!$S$2:$S$239,"可计入")</x:f>
        <x:v>0</x:v>
      </x:c>
      <x:c r="K30" s="11" t="n">
        <x:f>COUNTIFS('238天开发工单'!$A$2:$A$239,A30,'238天开发工单'!$S$2:$S$239,"可计入")</x:f>
        <x:v>0</x:v>
      </x:c>
      <x:c r="L30" s="20" t="n">
        <x:f>K30/7</x:f>
        <x:v>0</x:v>
      </x:c>
      <x:c r="M30" s="17" t="str">
        <x:v>未验收</x:v>
      </x:c>
      <x:c r="N30" s="17"/>
    </x:row>
    <x:row r="31" ht="38" customHeight="1">
      <x:c r="A31" s="11" t="n">
        <x:v>30</x:v>
      </x:c>
      <x:c r="B31" s="11" t="str">
        <x:v>2027-05-24</x:v>
      </x:c>
      <x:c r="C31" s="11" t="str">
        <x:v>2027-05-30</x:v>
      </x:c>
      <x:c r="D31" s="11" t="str">
        <x:v>Phase-30 安全与数据治理</x:v>
      </x:c>
      <x:c r="E31" s="11" t="str">
        <x:v>从开发者角度修复真实应用风险</x:v>
      </x:c>
      <x:c r="F31" s="11" t="str">
        <x:v>鉴权/输入校验/依赖治理</x:v>
      </x:c>
      <x:c r="G31" s="11" t="n">
        <x:v>10</x:v>
      </x:c>
      <x:c r="H31" s="11" t="n">
        <x:f>SUMIF('238天开发工单'!$A$2:$A$239,A31,'238天开发工单'!$N$2:$N$239)</x:f>
        <x:v>0</x:v>
      </x:c>
      <x:c r="I31" s="11" t="n">
        <x:f>COUNTIFS('238天开发工单'!$A$2:$A$239,A31,'238天开发工单'!$F$2:$F$239,"Must")</x:f>
        <x:v>7</x:v>
      </x:c>
      <x:c r="J31" s="11" t="n">
        <x:f>COUNTIFS('238天开发工单'!$A$2:$A$239,A31,'238天开发工单'!$F$2:$F$239,"Must",'238天开发工单'!$S$2:$S$239,"可计入")</x:f>
        <x:v>0</x:v>
      </x:c>
      <x:c r="K31" s="11" t="n">
        <x:f>COUNTIFS('238天开发工单'!$A$2:$A$239,A31,'238天开发工单'!$S$2:$S$239,"可计入")</x:f>
        <x:v>0</x:v>
      </x:c>
      <x:c r="L31" s="20" t="n">
        <x:f>K31/7</x:f>
        <x:v>0</x:v>
      </x:c>
      <x:c r="M31" s="17" t="str">
        <x:v>未验收</x:v>
      </x:c>
      <x:c r="N31" s="17"/>
    </x:row>
    <x:row r="32" ht="38" customHeight="1">
      <x:c r="A32" s="11" t="n">
        <x:v>31</x:v>
      </x:c>
      <x:c r="B32" s="11" t="str">
        <x:v>2027-05-31</x:v>
      </x:c>
      <x:c r="C32" s="11" t="str">
        <x:v>2027-06-06</x:v>
      </x:c>
      <x:c r="D32" s="11" t="str">
        <x:v>Phase-31 部署发布</x:v>
      </x:c>
      <x:c r="E32" s="11" t="str">
        <x:v>交付可展示可回滚的准生产演示环境</x:v>
      </x:c>
      <x:c r="F32" s="11" t="str">
        <x:v>CI/CD/版本化/运行手册</x:v>
      </x:c>
      <x:c r="G32" s="11" t="n">
        <x:v>10</x:v>
      </x:c>
      <x:c r="H32" s="11" t="n">
        <x:f>SUMIF('238天开发工单'!$A$2:$A$239,A32,'238天开发工单'!$N$2:$N$239)</x:f>
        <x:v>0</x:v>
      </x:c>
      <x:c r="I32" s="11" t="n">
        <x:f>COUNTIFS('238天开发工单'!$A$2:$A$239,A32,'238天开发工单'!$F$2:$F$239,"Must")</x:f>
        <x:v>7</x:v>
      </x:c>
      <x:c r="J32" s="11" t="n">
        <x:f>COUNTIFS('238天开发工单'!$A$2:$A$239,A32,'238天开发工单'!$F$2:$F$239,"Must",'238天开发工单'!$S$2:$S$239,"可计入")</x:f>
        <x:v>0</x:v>
      </x:c>
      <x:c r="K32" s="11" t="n">
        <x:f>COUNTIFS('238天开发工单'!$A$2:$A$239,A32,'238天开发工单'!$S$2:$S$239,"可计入")</x:f>
        <x:v>0</x:v>
      </x:c>
      <x:c r="L32" s="20" t="n">
        <x:f>K32/7</x:f>
        <x:v>0</x:v>
      </x:c>
      <x:c r="M32" s="17" t="str">
        <x:v>未验收</x:v>
      </x:c>
      <x:c r="N32" s="17"/>
    </x:row>
    <x:row r="33" ht="38" customHeight="1">
      <x:c r="A33" s="11" t="n">
        <x:v>32</x:v>
      </x:c>
      <x:c r="B33" s="11" t="str">
        <x:v>2027-06-07</x:v>
      </x:c>
      <x:c r="C33" s="11" t="str">
        <x:v>2027-06-13</x:v>
      </x:c>
      <x:c r="D33" s="11" t="str">
        <x:v>Phase-32 面试与文档</x:v>
      </x:c>
      <x:c r="E33" s="11" t="str">
        <x:v>项目可被面试官验证</x:v>
      </x:c>
      <x:c r="F33" s="11" t="str">
        <x:v>项目证据/白板讲解</x:v>
      </x:c>
      <x:c r="G33" s="11" t="n">
        <x:v>10</x:v>
      </x:c>
      <x:c r="H33" s="11" t="n">
        <x:f>SUMIF('238天开发工单'!$A$2:$A$239,A33,'238天开发工单'!$N$2:$N$239)</x:f>
        <x:v>0</x:v>
      </x:c>
      <x:c r="I33" s="11" t="n">
        <x:f>COUNTIFS('238天开发工单'!$A$2:$A$239,A33,'238天开发工单'!$F$2:$F$239,"Must")</x:f>
        <x:v>7</x:v>
      </x:c>
      <x:c r="J33" s="11" t="n">
        <x:f>COUNTIFS('238天开发工单'!$A$2:$A$239,A33,'238天开发工单'!$F$2:$F$239,"Must",'238天开发工单'!$S$2:$S$239,"可计入")</x:f>
        <x:v>0</x:v>
      </x:c>
      <x:c r="K33" s="11" t="n">
        <x:f>COUNTIFS('238天开发工单'!$A$2:$A$239,A33,'238天开发工单'!$S$2:$S$239,"可计入")</x:f>
        <x:v>0</x:v>
      </x:c>
      <x:c r="L33" s="20" t="n">
        <x:f>K33/7</x:f>
        <x:v>0</x:v>
      </x:c>
      <x:c r="M33" s="17" t="str">
        <x:v>未验收</x:v>
      </x:c>
      <x:c r="N33" s="17"/>
    </x:row>
    <x:row r="34" ht="38" customHeight="1">
      <x:c r="A34" s="11" t="n">
        <x:v>33</x:v>
      </x:c>
      <x:c r="B34" s="11" t="str">
        <x:v>2027-06-14</x:v>
      </x:c>
      <x:c r="C34" s="11" t="str">
        <x:v>2027-06-20</x:v>
      </x:c>
      <x:c r="D34" s="11" t="str">
        <x:v>Phase-33 求职复盘与补漏</x:v>
      </x:c>
      <x:c r="E34" s="11" t="str">
        <x:v>按真实面试反馈持续迭代</x:v>
      </x:c>
      <x:c r="F34" s="11" t="str">
        <x:v>JD/题目/项目修复</x:v>
      </x:c>
      <x:c r="G34" s="11" t="n">
        <x:v>10</x:v>
      </x:c>
      <x:c r="H34" s="11" t="n">
        <x:f>SUMIF('238天开发工单'!$A$2:$A$239,A34,'238天开发工单'!$N$2:$N$239)</x:f>
        <x:v>0</x:v>
      </x:c>
      <x:c r="I34" s="11" t="n">
        <x:f>COUNTIFS('238天开发工单'!$A$2:$A$239,A34,'238天开发工单'!$F$2:$F$239,"Must")</x:f>
        <x:v>0</x:v>
      </x:c>
      <x:c r="J34" s="11" t="n">
        <x:f>COUNTIFS('238天开发工单'!$A$2:$A$239,A34,'238天开发工单'!$F$2:$F$239,"Must",'238天开发工单'!$S$2:$S$239,"可计入")</x:f>
        <x:v>0</x:v>
      </x:c>
      <x:c r="K34" s="11" t="n">
        <x:f>COUNTIFS('238天开发工单'!$A$2:$A$239,A34,'238天开发工单'!$S$2:$S$239,"可计入")</x:f>
        <x:v>0</x:v>
      </x:c>
      <x:c r="L34" s="20" t="n">
        <x:f>K34/7</x:f>
        <x:v>0</x:v>
      </x:c>
      <x:c r="M34" s="17" t="str">
        <x:v>未验收</x:v>
      </x:c>
      <x:c r="N34" s="17"/>
    </x:row>
    <x:row r="35" ht="38" customHeight="1">
      <x:c r="A35" s="11" t="n">
        <x:v>34</x:v>
      </x:c>
      <x:c r="B35" s="11" t="str">
        <x:v>2027-06-21</x:v>
      </x:c>
      <x:c r="C35" s="11" t="str">
        <x:v>2027-06-27</x:v>
      </x:c>
      <x:c r="D35" s="11" t="str">
        <x:v>Phase-34 正式结项</x:v>
      </x:c>
      <x:c r="E35" s="11" t="str">
        <x:v>形成可提交的项目作品集与后续路线</x:v>
      </x:c>
      <x:c r="F35" s="11" t="str">
        <x:v>Release/复盘/岗位对齐</x:v>
      </x:c>
      <x:c r="G35" s="11" t="n">
        <x:v>10</x:v>
      </x:c>
      <x:c r="H35" s="11" t="n">
        <x:f>SUMIF('238天开发工单'!$A$2:$A$239,A35,'238天开发工单'!$N$2:$N$239)</x:f>
        <x:v>0</x:v>
      </x:c>
      <x:c r="I35" s="11" t="n">
        <x:f>COUNTIFS('238天开发工单'!$A$2:$A$239,A35,'238天开发工单'!$F$2:$F$239,"Must")</x:f>
        <x:v>7</x:v>
      </x:c>
      <x:c r="J35" s="11" t="n">
        <x:f>COUNTIFS('238天开发工单'!$A$2:$A$239,A35,'238天开发工单'!$F$2:$F$239,"Must",'238天开发工单'!$S$2:$S$239,"可计入")</x:f>
        <x:v>0</x:v>
      </x:c>
      <x:c r="K35" s="11" t="n">
        <x:f>COUNTIFS('238天开发工单'!$A$2:$A$239,A35,'238天开发工单'!$S$2:$S$239,"可计入")</x:f>
        <x:v>0</x:v>
      </x:c>
      <x:c r="L35" s="20" t="n">
        <x:f>K35/7</x:f>
        <x:v>0</x:v>
      </x:c>
      <x:c r="M35" s="17" t="str">
        <x:v>未验收</x:v>
      </x:c>
      <x:c r="N35" s="17"/>
    </x:row>
  </x:sheetData>
  <x:conditionalFormatting sqref="L2:L35">
    <x:cfRule type="dataBar" priority="1">
      <x:dataBar>
        <x:cfvo type="min"/>
        <x:cfvo type="max"/>
        <x:color rgb="FF0F766E"/>
      </x:dataBar>
      <x:extLst>
        <x:ext xmlns:x14="http://schemas.microsoft.com/office/spreadsheetml/2009/9/main" uri="{B025F937-C7B1-47D3-B67F-A62EFF666E3E}">
          <x14:id>{F939B10E-07A2-3AB0-6E4F-6F63819F0CE2}</x14:id>
        </x:ext>
      </x:extLst>
    </x:cfRule>
  </x:conditionalFormatting>
  <x:dataValidations count="1">
    <x:dataValidation type="list" sqref="M2:M35">
      <x:formula1>"未验收,部分通过,已通过,已延期,取消（说明）"</x:formula1>
    </x:dataValidation>
  </x:dataValidations>
  <x:pageMargins left="0.7" right="0.7" top="0.75" bottom="0.75" header="0.3" footer="0.3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F939B10E-07A2-3AB0-6E4F-6F63819F0CE2}">
            <x14:dataBar gradient="1">
              <x14:cfvo type="min"/>
              <x14:cfvo type="max"/>
              <x14:fillColor rgb="FF0F766E"/>
            </x14:dataBar>
          </x14:cfRule>
          <xm:sqref>L2:L35</xm:sqref>
        </x14:conditionalFormatting>
      </x14:conditionalFormattings>
    </x:ext>
  </x:extLst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8" hidden="0" customWidth="1"/>
    <x:col min="2" max="2" width="56" hidden="0" customWidth="1"/>
    <x:col min="3" max="3" width="13" hidden="0" customWidth="1"/>
    <x:col min="4" max="4" width="30" hidden="0" customWidth="1"/>
    <x:col min="5" max="5" width="13" hidden="0" customWidth="1"/>
    <x:col min="6" max="6" width="58" hidden="0" customWidth="1"/>
    <x:col min="7" max="7" width="58" hidden="0" customWidth="1"/>
    <x:col min="8" max="8" width="16" hidden="0" customWidth="1"/>
    <x:col min="9" max="9" width="30" hidden="0" customWidth="1"/>
    <x:col min="10" max="10" width="14" hidden="0" customWidth="1"/>
    <x:col min="11" max="11" width="45" hidden="0" customWidth="1"/>
    <x:col min="12" max="12" width="45" hidden="0" customWidth="1"/>
    <x:col min="13" max="13" width="17" hidden="0" customWidth="1"/>
  </x:cols>
  <x:sheetData>
    <x:row r="1" ht="32" customHeight="1">
      <x:c r="A1" s="5" t="str">
        <x:v>周次</x:v>
      </x:c>
      <x:c r="B1" s="5" t="str">
        <x:v>项目周目标</x:v>
      </x:c>
      <x:c r="C1" s="5" t="str">
        <x:v>算法预算h</x:v>
      </x:c>
      <x:c r="D1" s="5" t="str">
        <x:v>算法主题</x:v>
      </x:c>
      <x:c r="E1" s="5" t="str">
        <x:v>基础预算h</x:v>
      </x:c>
      <x:c r="F1" s="5" t="str">
        <x:v>基础与原理</x:v>
      </x:c>
      <x:c r="G1" s="5" t="str">
        <x:v>实践验收</x:v>
      </x:c>
      <x:c r="H1" s="5" t="str">
        <x:v>缓冲与求职h</x:v>
      </x:c>
      <x:c r="I1" s="5" t="str">
        <x:v>优先用途</x:v>
      </x:c>
      <x:c r="J1" s="5" t="str">
        <x:v>状态</x:v>
      </x:c>
      <x:c r="K1" s="5" t="str">
        <x:v>算法证据</x:v>
      </x:c>
      <x:c r="L1" s="5" t="str">
        <x:v>基础证据</x:v>
      </x:c>
      <x:c r="M1" s="5" t="str">
        <x:v>实际训练h</x:v>
      </x:c>
    </x:row>
    <x:row r="2" ht="38" customHeight="1">
      <x:c r="A2" s="11" t="n">
        <x:v>1</x:v>
      </x:c>
      <x:c r="B2" s="11" t="str">
        <x:v>仓库可复现启动，需求与边界明确</x:v>
      </x:c>
      <x:c r="C2" s="22" t="n">
        <x:v>3</x:v>
      </x:c>
      <x:c r="D2" s="11" t="str">
        <x:v>数组与哈希表</x:v>
      </x:c>
      <x:c r="E2" s="22" t="n">
        <x:v>2</x:v>
      </x:c>
      <x:c r="F2" s="11" t="str">
        <x:v>Java集合、hashCode/equals</x:v>
      </x:c>
      <x:c r="G2" s="11" t="str">
        <x:v>1道哈希题+独立写集合例子</x:v>
      </x:c>
      <x:c r="H2" s="24" t="n">
        <x:v>3</x:v>
      </x:c>
      <x:c r="I2" s="11" t="str">
        <x:v>科研/修复/投实习</x:v>
      </x:c>
      <x:c r="J2" s="11" t="str">
        <x:v>未开始</x:v>
      </x:c>
      <x:c r="K2" s="11"/>
      <x:c r="L2" s="11"/>
      <x:c r="M2" s="11"/>
    </x:row>
    <x:row r="3" ht="38" customHeight="1">
      <x:c r="A3" s="11" t="n">
        <x:v>2</x:v>
      </x:c>
      <x:c r="B3" s="11" t="str">
        <x:v>商品主数据与SQL迁移可重复部署</x:v>
      </x:c>
      <x:c r="C3" s="22" t="n">
        <x:v>3</x:v>
      </x:c>
      <x:c r="D3" s="11" t="str">
        <x:v>双指针</x:v>
      </x:c>
      <x:c r="E3" s="22" t="n">
        <x:v>2</x:v>
      </x:c>
      <x:c r="F3" s="11" t="str">
        <x:v>SQL查询优化、B+树索引</x:v>
      </x:c>
      <x:c r="G3" s="11" t="str">
        <x:v>EXPLAIN一条真实项目SQL</x:v>
      </x:c>
      <x:c r="H3" s="24" t="n">
        <x:v>3</x:v>
      </x:c>
      <x:c r="I3" s="11" t="str">
        <x:v>科研/修复/投实习</x:v>
      </x:c>
      <x:c r="J3" s="11" t="str">
        <x:v>未开始</x:v>
      </x:c>
      <x:c r="K3" s="11"/>
      <x:c r="L3" s="11"/>
      <x:c r="M3" s="11"/>
    </x:row>
    <x:row r="4" ht="38" customHeight="1">
      <x:c r="A4" s="11" t="n">
        <x:v>3</x:v>
      </x:c>
      <x:c r="B4" s="11" t="str">
        <x:v>商品CRUD、参数校验、错误规范与测试</x:v>
      </x:c>
      <x:c r="C4" s="22" t="n">
        <x:v>3</x:v>
      </x:c>
      <x:c r="D4" s="11" t="str">
        <x:v>栈与队列</x:v>
      </x:c>
      <x:c r="E4" s="22" t="n">
        <x:v>2</x:v>
      </x:c>
      <x:c r="F4" s="11" t="str">
        <x:v>HTTP请求链路、MVC、异常处理</x:v>
      </x:c>
      <x:c r="G4" s="11" t="str">
        <x:v>复现400/404/500三种HTTP异常</x:v>
      </x:c>
      <x:c r="H4" s="24" t="n">
        <x:v>3</x:v>
      </x:c>
      <x:c r="I4" s="11" t="str">
        <x:v>科研/修复/投实习</x:v>
      </x:c>
      <x:c r="J4" s="11" t="str">
        <x:v>未开始</x:v>
      </x:c>
      <x:c r="K4" s="11"/>
      <x:c r="L4" s="11"/>
      <x:c r="M4" s="11"/>
    </x:row>
    <x:row r="5" ht="38" customHeight="1">
      <x:c r="A5" s="11" t="n">
        <x:v>4</x:v>
      </x:c>
      <x:c r="B5" s="11" t="str">
        <x:v>注册登录、密码安全、用户隔离</x:v>
      </x:c>
      <x:c r="C5" s="22" t="n">
        <x:v>3</x:v>
      </x:c>
      <x:c r="D5" s="11" t="str">
        <x:v>字符串</x:v>
      </x:c>
      <x:c r="E5" s="22" t="n">
        <x:v>2</x:v>
      </x:c>
      <x:c r="F5" s="11" t="str">
        <x:v>Spring Security过滤器、Cookie与JWT</x:v>
      </x:c>
      <x:c r="G5" s="11" t="str">
        <x:v>讲解401与403，手写鉴权伪代码</x:v>
      </x:c>
      <x:c r="H5" s="24" t="n">
        <x:v>3</x:v>
      </x:c>
      <x:c r="I5" s="11" t="str">
        <x:v>科研/修复/投实习</x:v>
      </x:c>
      <x:c r="J5" s="11" t="str">
        <x:v>未开始</x:v>
      </x:c>
      <x:c r="K5" s="11"/>
      <x:c r="L5" s="11"/>
      <x:c r="M5" s="11"/>
    </x:row>
    <x:row r="6" ht="38" customHeight="1">
      <x:c r="A6" s="11" t="n">
        <x:v>5</x:v>
      </x:c>
      <x:c r="B6" s="11" t="str">
        <x:v>RBAC、资源所有权、审计</x:v>
      </x:c>
      <x:c r="C6" s="22" t="n">
        <x:v>3</x:v>
      </x:c>
      <x:c r="D6" s="11" t="str">
        <x:v>二分查找</x:v>
      </x:c>
      <x:c r="E6" s="22" t="n">
        <x:v>2</x:v>
      </x:c>
      <x:c r="F6" s="11" t="str">
        <x:v>RBAC与IDOR</x:v>
      </x:c>
      <x:c r="G6" s="11" t="str">
        <x:v>写一条跨用户访问失败测试</x:v>
      </x:c>
      <x:c r="H6" s="24" t="n">
        <x:v>3</x:v>
      </x:c>
      <x:c r="I6" s="11" t="str">
        <x:v>科研/修复/投实习</x:v>
      </x:c>
      <x:c r="J6" s="11" t="str">
        <x:v>未开始</x:v>
      </x:c>
      <x:c r="K6" s="11"/>
      <x:c r="L6" s="11"/>
      <x:c r="M6" s="11"/>
    </x:row>
    <x:row r="7" ht="38" customHeight="1">
      <x:c r="A7" s="11" t="n">
        <x:v>6</x:v>
      </x:c>
      <x:c r="B7" s="11" t="str">
        <x:v>购物车业务与用户数据隔离</x:v>
      </x:c>
      <x:c r="C7" s="22" t="n">
        <x:v>3</x:v>
      </x:c>
      <x:c r="D7" s="11" t="str">
        <x:v>链表</x:v>
      </x:c>
      <x:c r="E7" s="22" t="n">
        <x:v>2</x:v>
      </x:c>
      <x:c r="F7" s="11" t="str">
        <x:v>Java泛型、集合、BigDecimal</x:v>
      </x:c>
      <x:c r="G7" s="11" t="str">
        <x:v>金额精度闭卷练习</x:v>
      </x:c>
      <x:c r="H7" s="24" t="n">
        <x:v>3</x:v>
      </x:c>
      <x:c r="I7" s="11" t="str">
        <x:v>科研/修复/投实习</x:v>
      </x:c>
      <x:c r="J7" s="11" t="str">
        <x:v>未开始</x:v>
      </x:c>
      <x:c r="K7" s="11"/>
      <x:c r="L7" s="11"/>
      <x:c r="M7" s="11"/>
    </x:row>
    <x:row r="8" ht="38" customHeight="1">
      <x:c r="A8" s="11" t="n">
        <x:v>7</x:v>
      </x:c>
      <x:c r="B8" s="11" t="str">
        <x:v>防超卖的原子库存扣减</x:v>
      </x:c>
      <x:c r="C8" s="22" t="n">
        <x:v>3</x:v>
      </x:c>
      <x:c r="D8" s="11" t="str">
        <x:v>二叉树遍历</x:v>
      </x:c>
      <x:c r="E8" s="22" t="n">
        <x:v>2</x:v>
      </x:c>
      <x:c r="F8" s="11" t="str">
        <x:v>并发、线程池、synchronized</x:v>
      </x:c>
      <x:c r="G8" s="11" t="str">
        <x:v>写并发计数实验并指出失效条件</x:v>
      </x:c>
      <x:c r="H8" s="24" t="n">
        <x:v>3</x:v>
      </x:c>
      <x:c r="I8" s="11" t="str">
        <x:v>科研/修复/投实习</x:v>
      </x:c>
      <x:c r="J8" s="11" t="str">
        <x:v>未开始</x:v>
      </x:c>
      <x:c r="K8" s="11"/>
      <x:c r="L8" s="11"/>
      <x:c r="M8" s="11"/>
    </x:row>
    <x:row r="9" ht="38" customHeight="1">
      <x:c r="A9" s="11" t="n">
        <x:v>8</x:v>
      </x:c>
      <x:c r="B9" s="11" t="str">
        <x:v>创建订单与库存扣减原子一致</x:v>
      </x:c>
      <x:c r="C9" s="22" t="n">
        <x:v>3</x:v>
      </x:c>
      <x:c r="D9" s="11" t="str">
        <x:v>前缀和</x:v>
      </x:c>
      <x:c r="E9" s="22" t="n">
        <x:v>2</x:v>
      </x:c>
      <x:c r="F9" s="11" t="str">
        <x:v>MySQL事务、隔离级别与MVCC</x:v>
      </x:c>
      <x:c r="G9" s="11" t="str">
        <x:v>画事务边界与冲突时序</x:v>
      </x:c>
      <x:c r="H9" s="24" t="n">
        <x:v>3</x:v>
      </x:c>
      <x:c r="I9" s="11" t="str">
        <x:v>科研/修复/投实习</x:v>
      </x:c>
      <x:c r="J9" s="11" t="str">
        <x:v>未开始</x:v>
      </x:c>
      <x:c r="K9" s="11"/>
      <x:c r="L9" s="11"/>
      <x:c r="M9" s="11"/>
    </x:row>
    <x:row r="10" ht="38" customHeight="1">
      <x:c r="A10" s="11" t="n">
        <x:v>9</x:v>
      </x:c>
      <x:c r="B10" s="11" t="str">
        <x:v>可靠的订单状态变更；不接真实资金</x:v>
      </x:c>
      <x:c r="C10" s="22" t="n">
        <x:v>3</x:v>
      </x:c>
      <x:c r="D10" s="11" t="str">
        <x:v>滑动窗口</x:v>
      </x:c>
      <x:c r="E10" s="22" t="n">
        <x:v>2</x:v>
      </x:c>
      <x:c r="F10" s="11" t="str">
        <x:v>HTTP幂等、签名与重放</x:v>
      </x:c>
      <x:c r="G10" s="11" t="str">
        <x:v>独立写事件去重最小例子</x:v>
      </x:c>
      <x:c r="H10" s="24" t="n">
        <x:v>3</x:v>
      </x:c>
      <x:c r="I10" s="11" t="str">
        <x:v>科研/修复/投实习</x:v>
      </x:c>
      <x:c r="J10" s="11" t="str">
        <x:v>未开始</x:v>
      </x:c>
      <x:c r="K10" s="11"/>
      <x:c r="L10" s="11"/>
      <x:c r="M10" s="11"/>
    </x:row>
    <x:row r="11" ht="38" customHeight="1">
      <x:c r="A11" s="11" t="n">
        <x:v>10</x:v>
      </x:c>
      <x:c r="B11" s="11" t="str">
        <x:v>退款申请和库存补偿闭环</x:v>
      </x:c>
      <x:c r="C11" s="22" t="n">
        <x:v>3</x:v>
      </x:c>
      <x:c r="D11" s="11" t="str">
        <x:v>哈希与栈</x:v>
      </x:c>
      <x:c r="E11" s="22" t="n">
        <x:v>2</x:v>
      </x:c>
      <x:c r="F11" s="11" t="str">
        <x:v>锁/状态机/条件更新</x:v>
      </x:c>
      <x:c r="G11" s="11" t="str">
        <x:v>自己画支付与取消竞争场景</x:v>
      </x:c>
      <x:c r="H11" s="24" t="n">
        <x:v>3</x:v>
      </x:c>
      <x:c r="I11" s="11" t="str">
        <x:v>科研/修复/投实习</x:v>
      </x:c>
      <x:c r="J11" s="11" t="str">
        <x:v>未开始</x:v>
      </x:c>
      <x:c r="K11" s="11"/>
      <x:c r="L11" s="11"/>
      <x:c r="M11" s="11"/>
    </x:row>
    <x:row r="12" ht="38" customHeight="1">
      <x:c r="A12" s="11" t="n">
        <x:v>11</x:v>
      </x:c>
      <x:c r="B12" s="11" t="str">
        <x:v>用真实请求定位Spring边界问题</x:v>
      </x:c>
      <x:c r="C12" s="22" t="n">
        <x:v>3</x:v>
      </x:c>
      <x:c r="D12" s="11" t="str">
        <x:v>树的深度搜索</x:v>
      </x:c>
      <x:c r="E12" s="22" t="n">
        <x:v>2</x:v>
      </x:c>
      <x:c r="F12" s="11" t="str">
        <x:v>Spring IoC/AOP/代理</x:v>
      </x:c>
      <x:c r="G12" s="11" t="str">
        <x:v>跑事务自调用复现案例</x:v>
      </x:c>
      <x:c r="H12" s="24" t="n">
        <x:v>3</x:v>
      </x:c>
      <x:c r="I12" s="11" t="str">
        <x:v>科研/修复/投实习</x:v>
      </x:c>
      <x:c r="J12" s="11" t="str">
        <x:v>未开始</x:v>
      </x:c>
      <x:c r="K12" s="11"/>
      <x:c r="L12" s="11"/>
      <x:c r="M12" s="11"/>
    </x:row>
    <x:row r="13" ht="38" customHeight="1">
      <x:c r="A13" s="11" t="n">
        <x:v>12</x:v>
      </x:c>
      <x:c r="B13" s="11" t="str">
        <x:v>数据迁移与自动化测试能抵御重构</x:v>
      </x:c>
      <x:c r="C13" s="22" t="n">
        <x:v>3</x:v>
      </x:c>
      <x:c r="D13" s="11" t="str">
        <x:v>二分与边界</x:v>
      </x:c>
      <x:c r="E13" s="22" t="n">
        <x:v>2</x:v>
      </x:c>
      <x:c r="F13" s="11" t="str">
        <x:v>JUnit/Mockito/Testcontainers与迁移</x:v>
      </x:c>
      <x:c r="G13" s="11" t="str">
        <x:v>设计一项数据兼容性负向测试</x:v>
      </x:c>
      <x:c r="H13" s="24" t="n">
        <x:v>3</x:v>
      </x:c>
      <x:c r="I13" s="11" t="str">
        <x:v>科研/修复/投实习</x:v>
      </x:c>
      <x:c r="J13" s="11" t="str">
        <x:v>未开始</x:v>
      </x:c>
      <x:c r="K13" s="11"/>
      <x:c r="L13" s="11"/>
      <x:c r="M13" s="11"/>
    </x:row>
    <x:row r="14" ht="38" customHeight="1">
      <x:c r="A14" s="11" t="n">
        <x:v>13</x:v>
      </x:c>
      <x:c r="B14" s="11" t="str">
        <x:v>缓存命中、失效、一致性与降级</x:v>
      </x:c>
      <x:c r="C14" s="22" t="n">
        <x:v>3</x:v>
      </x:c>
      <x:c r="D14" s="11" t="str">
        <x:v>滑动窗口</x:v>
      </x:c>
      <x:c r="E14" s="22" t="n">
        <x:v>2</x:v>
      </x:c>
      <x:c r="F14" s="11" t="str">
        <x:v>Redis缓存与过期策略</x:v>
      </x:c>
      <x:c r="G14" s="11" t="str">
        <x:v>写无Redis时的降级时序</x:v>
      </x:c>
      <x:c r="H14" s="24" t="n">
        <x:v>3</x:v>
      </x:c>
      <x:c r="I14" s="11" t="str">
        <x:v>科研/修复/投实习</x:v>
      </x:c>
      <x:c r="J14" s="11" t="str">
        <x:v>未开始</x:v>
      </x:c>
      <x:c r="K14" s="11"/>
      <x:c r="L14" s="11"/>
      <x:c r="M14" s="11"/>
    </x:row>
    <x:row r="15" ht="38" customHeight="1">
      <x:c r="A15" s="11" t="n">
        <x:v>14</x:v>
      </x:c>
      <x:c r="B15" s="11" t="str">
        <x:v>消息通知在DB提交后可可靠发出</x:v>
      </x:c>
      <x:c r="C15" s="22" t="n">
        <x:v>3</x:v>
      </x:c>
      <x:c r="D15" s="11" t="str">
        <x:v>队列与BFS</x:v>
      </x:c>
      <x:c r="E15" s="22" t="n">
        <x:v>2</x:v>
      </x:c>
      <x:c r="F15" s="11" t="str">
        <x:v>消息队列投递语义</x:v>
      </x:c>
      <x:c r="G15" s="11" t="str">
        <x:v>演示提交DB与投MQ之间的空隙</x:v>
      </x:c>
      <x:c r="H15" s="24" t="n">
        <x:v>3</x:v>
      </x:c>
      <x:c r="I15" s="11" t="str">
        <x:v>科研/修复/投实习</x:v>
      </x:c>
      <x:c r="J15" s="11" t="str">
        <x:v>未开始</x:v>
      </x:c>
      <x:c r="K15" s="11"/>
      <x:c r="L15" s="11"/>
      <x:c r="M15" s="11"/>
    </x:row>
    <x:row r="16" ht="38" customHeight="1">
      <x:c r="A16" s="11" t="n">
        <x:v>15</x:v>
      </x:c>
      <x:c r="B16" s="11" t="str">
        <x:v>至少一次投递下的重复消费与恢复</x:v>
      </x:c>
      <x:c r="C16" s="22" t="n">
        <x:v>3</x:v>
      </x:c>
      <x:c r="D16" s="11" t="str">
        <x:v>堆与优先队列</x:v>
      </x:c>
      <x:c r="E16" s="22" t="n">
        <x:v>2</x:v>
      </x:c>
      <x:c r="F16" s="11" t="str">
        <x:v>并发消息幂等/唯一索引</x:v>
      </x:c>
      <x:c r="G16" s="11" t="str">
        <x:v>复现ACK前崩溃再投递</x:v>
      </x:c>
      <x:c r="H16" s="24" t="n">
        <x:v>3</x:v>
      </x:c>
      <x:c r="I16" s="11" t="str">
        <x:v>科研/修复/投实习</x:v>
      </x:c>
      <x:c r="J16" s="11" t="str">
        <x:v>未开始</x:v>
      </x:c>
      <x:c r="K16" s="11"/>
      <x:c r="L16" s="11"/>
      <x:c r="M16" s="11"/>
    </x:row>
    <x:row r="17" ht="38" customHeight="1">
      <x:c r="A17" s="11" t="n">
        <x:v>16</x:v>
      </x:c>
      <x:c r="B17" s="11" t="str">
        <x:v>可演示、可部署的后端MVP</x:v>
      </x:c>
      <x:c r="C17" s="22" t="n">
        <x:v>3</x:v>
      </x:c>
      <x:c r="D17" s="11" t="str">
        <x:v>数组综合</x:v>
      </x:c>
      <x:c r="E17" s="22" t="n">
        <x:v>2</x:v>
      </x:c>
      <x:c r="F17" s="11" t="str">
        <x:v>Docker/Linux/Git/日志</x:v>
      </x:c>
      <x:c r="G17" s="11" t="str">
        <x:v>90分钟在空目录部署并冒烟</x:v>
      </x:c>
      <x:c r="H17" s="24" t="n">
        <x:v>3</x:v>
      </x:c>
      <x:c r="I17" s="11" t="str">
        <x:v>科研/修复/投实习</x:v>
      </x:c>
      <x:c r="J17" s="11" t="str">
        <x:v>未开始</x:v>
      </x:c>
      <x:c r="K17" s="11"/>
      <x:c r="L17" s="11"/>
      <x:c r="M17" s="11"/>
    </x:row>
    <x:row r="18" ht="38" customHeight="1">
      <x:c r="A18" s="11" t="n">
        <x:v>17</x:v>
      </x:c>
      <x:c r="B18" s="11" t="str">
        <x:v>实际投递与技术补漏并行</x:v>
      </x:c>
      <x:c r="C18" s="22" t="n">
        <x:v>3</x:v>
      </x:c>
      <x:c r="D18" s="11" t="str">
        <x:v>链表/二叉树</x:v>
      </x:c>
      <x:c r="E18" s="22" t="n">
        <x:v>2</x:v>
      </x:c>
      <x:c r="F18" s="11" t="str">
        <x:v>Java集合、线程池、数据库事务面试</x:v>
      </x:c>
      <x:c r="G18" s="11" t="str">
        <x:v>两道不依赖AI的计时编程</x:v>
      </x:c>
      <x:c r="H18" s="24" t="n">
        <x:v>3</x:v>
      </x:c>
      <x:c r="I18" s="11" t="str">
        <x:v>科研/修复/投实习</x:v>
      </x:c>
      <x:c r="J18" s="11" t="str">
        <x:v>未开始</x:v>
      </x:c>
      <x:c r="K18" s="11"/>
      <x:c r="L18" s="11"/>
      <x:c r="M18" s="11"/>
    </x:row>
    <x:row r="19" ht="38" customHeight="1">
      <x:c r="A19" s="11" t="n">
        <x:v>18</x:v>
      </x:c>
      <x:c r="B19" s="11" t="str">
        <x:v>日志/指标/链路追踪/告警可定位故障</x:v>
      </x:c>
      <x:c r="C19" s="22" t="n">
        <x:v>3</x:v>
      </x:c>
      <x:c r="D19" s="11" t="str">
        <x:v>二叉树DFS</x:v>
      </x:c>
      <x:c r="E19" s="22" t="n">
        <x:v>2</x:v>
      </x:c>
      <x:c r="F19" s="11" t="str">
        <x:v>TCP连接、超时、连接池与可观测性</x:v>
      </x:c>
      <x:c r="G19" s="11" t="str">
        <x:v>用trace定位一次慢请求</x:v>
      </x:c>
      <x:c r="H19" s="24" t="n">
        <x:v>3</x:v>
      </x:c>
      <x:c r="I19" s="11" t="str">
        <x:v>科研/修复/投实习</x:v>
      </x:c>
      <x:c r="J19" s="11" t="str">
        <x:v>未开始</x:v>
      </x:c>
      <x:c r="K19" s="11"/>
      <x:c r="L19" s="11"/>
      <x:c r="M19" s="11"/>
    </x:row>
    <x:row r="20" ht="38" customHeight="1">
      <x:c r="A20" s="11" t="n">
        <x:v>19</x:v>
      </x:c>
      <x:c r="B20" s="11" t="str">
        <x:v>模型服务可替换、可测试、可降级</x:v>
      </x:c>
      <x:c r="C20" s="22" t="n">
        <x:v>3</x:v>
      </x:c>
      <x:c r="D20" s="11" t="str">
        <x:v>贪心基础</x:v>
      </x:c>
      <x:c r="E20" s="22" t="n">
        <x:v>2</x:v>
      </x:c>
      <x:c r="F20" s="11" t="str">
        <x:v>HTTP客户端超时与容错</x:v>
      </x:c>
      <x:c r="G20" s="11" t="str">
        <x:v>写FakeProvider模拟错误</x:v>
      </x:c>
      <x:c r="H20" s="24" t="n">
        <x:v>3</x:v>
      </x:c>
      <x:c r="I20" s="11" t="str">
        <x:v>科研/修复/投实习</x:v>
      </x:c>
      <x:c r="J20" s="11" t="str">
        <x:v>未开始</x:v>
      </x:c>
      <x:c r="K20" s="11"/>
      <x:c r="L20" s="11"/>
      <x:c r="M20" s="11"/>
    </x:row>
    <x:row r="21" ht="38" customHeight="1">
      <x:c r="A21" s="11" t="n">
        <x:v>20</x:v>
      </x:c>
      <x:c r="B21" s="11" t="str">
        <x:v>对话管理与可控的流式交互</x:v>
      </x:c>
      <x:c r="C21" s="22" t="n">
        <x:v>3</x:v>
      </x:c>
      <x:c r="D21" s="11" t="str">
        <x:v>队列/滑动窗口</x:v>
      </x:c>
      <x:c r="E21" s="22" t="n">
        <x:v>2</x:v>
      </x:c>
      <x:c r="F21" s="11" t="str">
        <x:v>SSE与长连接资源释放</x:v>
      </x:c>
      <x:c r="G21" s="11" t="str">
        <x:v>演示客户端断联释放资源</x:v>
      </x:c>
      <x:c r="H21" s="24" t="n">
        <x:v>3</x:v>
      </x:c>
      <x:c r="I21" s="11" t="str">
        <x:v>科研/修复/投实习</x:v>
      </x:c>
      <x:c r="J21" s="11" t="str">
        <x:v>未开始</x:v>
      </x:c>
      <x:c r="K21" s="11"/>
      <x:c r="L21" s="11"/>
      <x:c r="M21" s="11"/>
    </x:row>
    <x:row r="22" ht="38" customHeight="1">
      <x:c r="A22" s="11" t="n">
        <x:v>21</x:v>
      </x:c>
      <x:c r="B22" s="11" t="str">
        <x:v>可维护的售后知识库和检索索引</x:v>
      </x:c>
      <x:c r="C22" s="22" t="n">
        <x:v>3</x:v>
      </x:c>
      <x:c r="D22" s="11" t="str">
        <x:v>哈希与二分</x:v>
      </x:c>
      <x:c r="E22" s="22" t="n">
        <x:v>2</x:v>
      </x:c>
      <x:c r="F22" s="11" t="str">
        <x:v>向量检索原理、Embedding版本</x:v>
      </x:c>
      <x:c r="G22" s="11" t="str">
        <x:v>做检索baseline人工标注</x:v>
      </x:c>
      <x:c r="H22" s="24" t="n">
        <x:v>3</x:v>
      </x:c>
      <x:c r="I22" s="11" t="str">
        <x:v>科研/修复/投实习</x:v>
      </x:c>
      <x:c r="J22" s="11" t="str">
        <x:v>未开始</x:v>
      </x:c>
      <x:c r="K22" s="11"/>
      <x:c r="L22" s="11"/>
      <x:c r="M22" s="11"/>
    </x:row>
    <x:row r="23" ht="38" customHeight="1">
      <x:c r="A23" s="11" t="n">
        <x:v>22</x:v>
      </x:c>
      <x:c r="B23" s="11" t="str">
        <x:v>回答必须有证据并能拒答</x:v>
      </x:c>
      <x:c r="C23" s="22" t="n">
        <x:v>3</x:v>
      </x:c>
      <x:c r="D23" s="11" t="str">
        <x:v>排序/TopK</x:v>
      </x:c>
      <x:c r="E23" s="22" t="n">
        <x:v>2</x:v>
      </x:c>
      <x:c r="F23" s="11" t="str">
        <x:v>统计指标分母/采样/实验设计</x:v>
      </x:c>
      <x:c r="G23" s="11" t="str">
        <x:v>解释Recall@K如何统计</x:v>
      </x:c>
      <x:c r="H23" s="24" t="n">
        <x:v>3</x:v>
      </x:c>
      <x:c r="I23" s="11" t="str">
        <x:v>科研/修复/投实习</x:v>
      </x:c>
      <x:c r="J23" s="11" t="str">
        <x:v>未开始</x:v>
      </x:c>
      <x:c r="K23" s="11"/>
      <x:c r="L23" s="11"/>
      <x:c r="M23" s="11"/>
    </x:row>
    <x:row r="24" ht="38" customHeight="1">
      <x:c r="A24" s="11" t="n">
        <x:v>23</x:v>
      </x:c>
      <x:c r="B24" s="11" t="str">
        <x:v>让AI查询订单，但模型永远不决定权限</x:v>
      </x:c>
      <x:c r="C24" s="22" t="n">
        <x:v>3</x:v>
      </x:c>
      <x:c r="D24" s="11" t="str">
        <x:v>树与递归</x:v>
      </x:c>
      <x:c r="E24" s="22" t="n">
        <x:v>2</x:v>
      </x:c>
      <x:c r="F24" s="11" t="str">
        <x:v>Java反射/工具调用与信任边界</x:v>
      </x:c>
      <x:c r="G24" s="11" t="str">
        <x:v>关闭AI手写资源归属校验</x:v>
      </x:c>
      <x:c r="H24" s="24" t="n">
        <x:v>3</x:v>
      </x:c>
      <x:c r="I24" s="11" t="str">
        <x:v>科研/修复/投实习</x:v>
      </x:c>
      <x:c r="J24" s="11" t="str">
        <x:v>未开始</x:v>
      </x:c>
      <x:c r="K24" s="11"/>
      <x:c r="L24" s="11"/>
      <x:c r="M24" s="11"/>
    </x:row>
    <x:row r="25" ht="38" customHeight="1">
      <x:c r="A25" s="11" t="n">
        <x:v>24</x:v>
      </x:c>
      <x:c r="B25" s="11" t="str">
        <x:v>注入、泄露、越权和输出风险具备防线</x:v>
      </x:c>
      <x:c r="C25" s="22" t="n">
        <x:v>3</x:v>
      </x:c>
      <x:c r="D25" s="11" t="str">
        <x:v>图的遍历</x:v>
      </x:c>
      <x:c r="E25" s="22" t="n">
        <x:v>2</x:v>
      </x:c>
      <x:c r="F25" s="11" t="str">
        <x:v>OWASP API/LLM安全、输入边界</x:v>
      </x:c>
      <x:c r="G25" s="11" t="str">
        <x:v>闭卷写一条恶意输入测试</x:v>
      </x:c>
      <x:c r="H25" s="24" t="n">
        <x:v>3</x:v>
      </x:c>
      <x:c r="I25" s="11" t="str">
        <x:v>科研/修复/投实习</x:v>
      </x:c>
      <x:c r="J25" s="11" t="str">
        <x:v>未开始</x:v>
      </x:c>
      <x:c r="K25" s="11"/>
      <x:c r="L25" s="11"/>
      <x:c r="M25" s="11"/>
    </x:row>
    <x:row r="26" ht="38" customHeight="1">
      <x:c r="A26" s="11" t="n">
        <x:v>25</x:v>
      </x:c>
      <x:c r="B26" s="11" t="str">
        <x:v>AI服务可观测、可限额、可降级</x:v>
      </x:c>
      <x:c r="C26" s="22" t="n">
        <x:v>3</x:v>
      </x:c>
      <x:c r="D26" s="11" t="str">
        <x:v>堆/贪心</x:v>
      </x:c>
      <x:c r="E26" s="22" t="n">
        <x:v>2</x:v>
      </x:c>
      <x:c r="F26" s="11" t="str">
        <x:v>连接池、并发、成本预算</x:v>
      </x:c>
      <x:c r="G26" s="11" t="str">
        <x:v>能估算单请求的Token/费用</x:v>
      </x:c>
      <x:c r="H26" s="24" t="n">
        <x:v>3</x:v>
      </x:c>
      <x:c r="I26" s="11" t="str">
        <x:v>科研/修复/投实习</x:v>
      </x:c>
      <x:c r="J26" s="11" t="str">
        <x:v>未开始</x:v>
      </x:c>
      <x:c r="K26" s="11"/>
      <x:c r="L26" s="11"/>
      <x:c r="M26" s="11"/>
    </x:row>
    <x:row r="27" ht="38" customHeight="1">
      <x:c r="A27" s="11" t="n">
        <x:v>26</x:v>
      </x:c>
      <x:c r="B27" s="11" t="str">
        <x:v>AI生成草稿，关键操作保留人工确认</x:v>
      </x:c>
      <x:c r="C27" s="22" t="n">
        <x:v>3</x:v>
      </x:c>
      <x:c r="D27" s="11" t="str">
        <x:v>动态规划入门</x:v>
      </x:c>
      <x:c r="E27" s="22" t="n">
        <x:v>2</x:v>
      </x:c>
      <x:c r="F27" s="11" t="str">
        <x:v>JSON Schema/后端参数校验</x:v>
      </x:c>
      <x:c r="G27" s="11" t="str">
        <x:v>手写客服审核状态机</x:v>
      </x:c>
      <x:c r="H27" s="24" t="n">
        <x:v>3</x:v>
      </x:c>
      <x:c r="I27" s="11" t="str">
        <x:v>科研/修复/投实习</x:v>
      </x:c>
      <x:c r="J27" s="11" t="str">
        <x:v>未开始</x:v>
      </x:c>
      <x:c r="K27" s="11"/>
      <x:c r="L27" s="11"/>
      <x:c r="M27" s="11"/>
    </x:row>
    <x:row r="28" ht="38" customHeight="1">
      <x:c r="A28" s="11" t="n">
        <x:v>27</x:v>
      </x:c>
      <x:c r="B28" s="11" t="str">
        <x:v>理解协议边界，不为追热点破坏主架构</x:v>
      </x:c>
      <x:c r="C28" s="22" t="n">
        <x:v>3</x:v>
      </x:c>
      <x:c r="D28" s="11" t="str">
        <x:v>DP入门</x:v>
      </x:c>
      <x:c r="E28" s="22" t="n">
        <x:v>2</x:v>
      </x:c>
      <x:c r="F28" s="11" t="str">
        <x:v>接口兼容性、模块依赖</x:v>
      </x:c>
      <x:c r="G28" s="11" t="str">
        <x:v>模拟一次Tool schema变更测试</x:v>
      </x:c>
      <x:c r="H28" s="24" t="n">
        <x:v>3</x:v>
      </x:c>
      <x:c r="I28" s="11" t="str">
        <x:v>科研/修复/投实习</x:v>
      </x:c>
      <x:c r="J28" s="11" t="str">
        <x:v>未开始</x:v>
      </x:c>
      <x:c r="K28" s="11"/>
      <x:c r="L28" s="11"/>
      <x:c r="M28" s="11"/>
    </x:row>
    <x:row r="29" ht="38" customHeight="1">
      <x:c r="A29" s="11" t="n">
        <x:v>28</x:v>
      </x:c>
      <x:c r="B29" s="11" t="str">
        <x:v>用证据定位瓶颈而非声称百万QPS</x:v>
      </x:c>
      <x:c r="C29" s="22" t="n">
        <x:v>3</x:v>
      </x:c>
      <x:c r="D29" s="11" t="str">
        <x:v>二分/前缀和</x:v>
      </x:c>
      <x:c r="E29" s="22" t="n">
        <x:v>2</x:v>
      </x:c>
      <x:c r="F29" s="11" t="str">
        <x:v>JVM内存/GC/SQL执行计划</x:v>
      </x:c>
      <x:c r="G29" s="11" t="str">
        <x:v>重放一次真实SQL优化数据</x:v>
      </x:c>
      <x:c r="H29" s="24" t="n">
        <x:v>3</x:v>
      </x:c>
      <x:c r="I29" s="11" t="str">
        <x:v>科研/修复/投实习</x:v>
      </x:c>
      <x:c r="J29" s="11" t="str">
        <x:v>未开始</x:v>
      </x:c>
      <x:c r="K29" s="11"/>
      <x:c r="L29" s="11"/>
      <x:c r="M29" s="11"/>
    </x:row>
    <x:row r="30" ht="38" customHeight="1">
      <x:c r="A30" s="11" t="n">
        <x:v>29</x:v>
      </x:c>
      <x:c r="B30" s="11" t="str">
        <x:v>模拟实际线上故障和恢复流程</x:v>
      </x:c>
      <x:c r="C30" s="22" t="n">
        <x:v>3</x:v>
      </x:c>
      <x:c r="D30" s="11" t="str">
        <x:v>图/DFS</x:v>
      </x:c>
      <x:c r="E30" s="22" t="n">
        <x:v>2</x:v>
      </x:c>
      <x:c r="F30" s="11" t="str">
        <x:v>Linux进程、日志、超时与恢复</x:v>
      </x:c>
      <x:c r="G30" s="11" t="str">
        <x:v>模拟服务重启并写事故时间线</x:v>
      </x:c>
      <x:c r="H30" s="24" t="n">
        <x:v>3</x:v>
      </x:c>
      <x:c r="I30" s="11" t="str">
        <x:v>科研/修复/投实习</x:v>
      </x:c>
      <x:c r="J30" s="11" t="str">
        <x:v>未开始</x:v>
      </x:c>
      <x:c r="K30" s="11"/>
      <x:c r="L30" s="11"/>
      <x:c r="M30" s="11"/>
    </x:row>
    <x:row r="31" ht="38" customHeight="1">
      <x:c r="A31" s="11" t="n">
        <x:v>30</x:v>
      </x:c>
      <x:c r="B31" s="11" t="str">
        <x:v>从开发者角度修复真实应用风险</x:v>
      </x:c>
      <x:c r="C31" s="22" t="n">
        <x:v>3</x:v>
      </x:c>
      <x:c r="D31" s="11" t="str">
        <x:v>字符串/哈希</x:v>
      </x:c>
      <x:c r="E31" s="22" t="n">
        <x:v>2</x:v>
      </x:c>
      <x:c r="F31" s="11" t="str">
        <x:v>JWT/SQL注入/最小权限</x:v>
      </x:c>
      <x:c r="G31" s="11" t="str">
        <x:v>独立完成横向越权测试</x:v>
      </x:c>
      <x:c r="H31" s="24" t="n">
        <x:v>3</x:v>
      </x:c>
      <x:c r="I31" s="11" t="str">
        <x:v>科研/修复/投实习</x:v>
      </x:c>
      <x:c r="J31" s="11" t="str">
        <x:v>未开始</x:v>
      </x:c>
      <x:c r="K31" s="11"/>
      <x:c r="L31" s="11"/>
      <x:c r="M31" s="11"/>
    </x:row>
    <x:row r="32" ht="38" customHeight="1">
      <x:c r="A32" s="11" t="n">
        <x:v>31</x:v>
      </x:c>
      <x:c r="B32" s="11" t="str">
        <x:v>交付可展示可回滚的准生产演示环境</x:v>
      </x:c>
      <x:c r="C32" s="22" t="n">
        <x:v>3</x:v>
      </x:c>
      <x:c r="D32" s="11" t="str">
        <x:v>树/图</x:v>
      </x:c>
      <x:c r="E32" s="22" t="n">
        <x:v>2</x:v>
      </x:c>
      <x:c r="F32" s="11" t="str">
        <x:v>Docker镜像、发布回滚</x:v>
      </x:c>
      <x:c r="G32" s="11" t="str">
        <x:v>独立解释向前兼容迁移</x:v>
      </x:c>
      <x:c r="H32" s="24" t="n">
        <x:v>3</x:v>
      </x:c>
      <x:c r="I32" s="11" t="str">
        <x:v>科研/修复/投实习</x:v>
      </x:c>
      <x:c r="J32" s="11" t="str">
        <x:v>未开始</x:v>
      </x:c>
      <x:c r="K32" s="11"/>
      <x:c r="L32" s="11"/>
      <x:c r="M32" s="11"/>
    </x:row>
    <x:row r="33" ht="38" customHeight="1">
      <x:c r="A33" s="11" t="n">
        <x:v>32</x:v>
      </x:c>
      <x:c r="B33" s="11" t="str">
        <x:v>项目可被面试官验证</x:v>
      </x:c>
      <x:c r="C33" s="22" t="n">
        <x:v>3</x:v>
      </x:c>
      <x:c r="D33" s="11" t="str">
        <x:v>综合限时2题</x:v>
      </x:c>
      <x:c r="E33" s="22" t="n">
        <x:v>2</x:v>
      </x:c>
      <x:c r="F33" s="11" t="str">
        <x:v>综合Java/Spring/MySQL面试</x:v>
      </x:c>
      <x:c r="G33" s="11" t="str">
        <x:v>不靠AI演示完整请求链路</x:v>
      </x:c>
      <x:c r="H33" s="24" t="n">
        <x:v>3</x:v>
      </x:c>
      <x:c r="I33" s="11" t="str">
        <x:v>科研/修复/投实习</x:v>
      </x:c>
      <x:c r="J33" s="11" t="str">
        <x:v>未开始</x:v>
      </x:c>
      <x:c r="K33" s="11"/>
      <x:c r="L33" s="11"/>
      <x:c r="M33" s="11"/>
    </x:row>
    <x:row r="34" ht="38" customHeight="1">
      <x:c r="A34" s="11" t="n">
        <x:v>33</x:v>
      </x:c>
      <x:c r="B34" s="11" t="str">
        <x:v>按真实面试反馈持续迭代</x:v>
      </x:c>
      <x:c r="C34" s="22" t="n">
        <x:v>3</x:v>
      </x:c>
      <x:c r="D34" s="11" t="str">
        <x:v>按面试反馈选题</x:v>
      </x:c>
      <x:c r="E34" s="22" t="n">
        <x:v>2</x:v>
      </x:c>
      <x:c r="F34" s="11" t="str">
        <x:v>项目弱项补强</x:v>
      </x:c>
      <x:c r="G34" s="11" t="str">
        <x:v>闭卷重做错题</x:v>
      </x:c>
      <x:c r="H34" s="24" t="n">
        <x:v>3</x:v>
      </x:c>
      <x:c r="I34" s="11" t="str">
        <x:v>科研/修复/投实习</x:v>
      </x:c>
      <x:c r="J34" s="11" t="str">
        <x:v>未开始</x:v>
      </x:c>
      <x:c r="K34" s="11"/>
      <x:c r="L34" s="11"/>
      <x:c r="M34" s="11"/>
    </x:row>
    <x:row r="35" ht="38" customHeight="1">
      <x:c r="A35" s="11" t="n">
        <x:v>34</x:v>
      </x:c>
      <x:c r="B35" s="11" t="str">
        <x:v>形成可提交的项目作品集与后续路线</x:v>
      </x:c>
      <x:c r="C35" s="22" t="n">
        <x:v>3</x:v>
      </x:c>
      <x:c r="D35" s="11" t="str">
        <x:v>综合限时2题</x:v>
      </x:c>
      <x:c r="E35" s="22" t="n">
        <x:v>2</x:v>
      </x:c>
      <x:c r="F35" s="11" t="str">
        <x:v>全栈追问与质量复盘</x:v>
      </x:c>
      <x:c r="G35" s="11" t="str">
        <x:v>从代码/日志/测试证明项目亮点</x:v>
      </x:c>
      <x:c r="H35" s="24" t="n">
        <x:v>3</x:v>
      </x:c>
      <x:c r="I35" s="11" t="str">
        <x:v>科研/修复/投实习</x:v>
      </x:c>
      <x:c r="J35" s="11" t="str">
        <x:v>未开始</x:v>
      </x:c>
      <x:c r="K35" s="11"/>
      <x:c r="L35" s="11"/>
      <x:c r="M35" s="11"/>
    </x:row>
  </x:sheetData>
  <x:dataValidations count="1">
    <x:dataValidation type="list" sqref="J2:J35">
      <x:formula1>"未开始,进行中,完成,缓期,跳过（说明）"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16" hidden="0" customWidth="1"/>
    <x:col min="3" max="3" width="38" hidden="0" customWidth="1"/>
    <x:col min="4" max="4" width="76" hidden="0" customWidth="1"/>
    <x:col min="5" max="5" width="14" hidden="0" customWidth="1"/>
    <x:col min="6" max="6" width="15" hidden="0" customWidth="1"/>
    <x:col min="7" max="7" width="14" hidden="0" customWidth="1"/>
    <x:col min="8" max="8" width="50" hidden="0" customWidth="1"/>
    <x:col min="9" max="9" width="65" hidden="0" customWidth="1"/>
    <x:col min="10" max="10" width="22" hidden="0" customWidth="1"/>
  </x:cols>
  <x:sheetData>
    <x:row r="1" ht="32" customHeight="1">
      <x:c r="A1" s="5" t="str">
        <x:v>编号</x:v>
      </x:c>
      <x:c r="B1" s="5" t="str">
        <x:v>范围</x:v>
      </x:c>
      <x:c r="C1" s="5" t="str">
        <x:v>场景</x:v>
      </x:c>
      <x:c r="D1" s="5" t="str">
        <x:v>通过标准</x:v>
      </x:c>
      <x:c r="E1" s="5" t="str">
        <x:v>优先级</x:v>
      </x:c>
      <x:c r="F1" s="5" t="str">
        <x:v>开发周</x:v>
      </x:c>
      <x:c r="G1" s="5" t="str">
        <x:v>执行状态</x:v>
      </x:c>
      <x:c r="H1" s="5" t="str">
        <x:v>测试证据/脚本</x:v>
      </x:c>
      <x:c r="I1" s="5" t="str">
        <x:v>测量结果/失败根因</x:v>
      </x:c>
      <x:c r="J1" s="5" t="str">
        <x:v>负责人/日期</x:v>
      </x:c>
    </x:row>
    <x:row r="2" ht="42" customHeight="1">
      <x:c r="A2" s="11" t="str">
        <x:v>TR-01</x:v>
      </x:c>
      <x:c r="B2" s="11" t="str">
        <x:v>交易</x:v>
      </x:c>
      <x:c r="C2" s="11" t="str">
        <x:v>并发争抢库存</x:v>
      </x:c>
      <x:c r="D2" s="11" t="str">
        <x:v>100个请求争抢10件，不能超卖；成功数与流水一致</x:v>
      </x:c>
      <x:c r="E2" s="11" t="str">
        <x:v>Must</x:v>
      </x:c>
      <x:c r="F2" s="11" t="str">
        <x:v>W07-08</x:v>
      </x:c>
      <x:c r="G2" s="11" t="str">
        <x:v>待测</x:v>
      </x:c>
      <x:c r="H2" s="11"/>
      <x:c r="I2" s="11"/>
      <x:c r="J2" s="11"/>
    </x:row>
    <x:row r="3" ht="42" customHeight="1">
      <x:c r="A3" s="11" t="str">
        <x:v>TR-02</x:v>
      </x:c>
      <x:c r="B3" s="11" t="str">
        <x:v>交易</x:v>
      </x:c>
      <x:c r="C3" s="11" t="str">
        <x:v>同键重复下单</x:v>
      </x:c>
      <x:c r="D3" s="11" t="str">
        <x:v>同用户同接口同幂等键并发仅一个订单；不同请求体409</x:v>
      </x:c>
      <x:c r="E3" s="11" t="str">
        <x:v>Must</x:v>
      </x:c>
      <x:c r="F3" s="11" t="str">
        <x:v>W08</x:v>
      </x:c>
      <x:c r="G3" s="11" t="str">
        <x:v>待测</x:v>
      </x:c>
      <x:c r="H3" s="11"/>
      <x:c r="I3" s="11"/>
      <x:c r="J3" s="11"/>
    </x:row>
    <x:row r="4" ht="42" customHeight="1">
      <x:c r="A4" s="11" t="str">
        <x:v>TR-03</x:v>
      </x:c>
      <x:c r="B4" s="11" t="str">
        <x:v>交易</x:v>
      </x:c>
      <x:c r="C4" s="11" t="str">
        <x:v>事务中途失败</x:v>
      </x:c>
      <x:c r="D4" s="11" t="str">
        <x:v>数据库异常后订单、库存、流水同回滚</x:v>
      </x:c>
      <x:c r="E4" s="11" t="str">
        <x:v>Must</x:v>
      </x:c>
      <x:c r="F4" s="11" t="str">
        <x:v>W08</x:v>
      </x:c>
      <x:c r="G4" s="11" t="str">
        <x:v>待测</x:v>
      </x:c>
      <x:c r="H4" s="11"/>
      <x:c r="I4" s="11"/>
      <x:c r="J4" s="11"/>
    </x:row>
    <x:row r="5" ht="42" customHeight="1">
      <x:c r="A5" s="11" t="str">
        <x:v>TR-04</x:v>
      </x:c>
      <x:c r="B5" s="11" t="str">
        <x:v>交易</x:v>
      </x:c>
      <x:c r="C5" s="11" t="str">
        <x:v>模拟支付与取消竞争</x:v>
      </x:c>
      <x:c r="D5" s="11" t="str">
        <x:v>只进入一个合法终态，库存不双回补</x:v>
      </x:c>
      <x:c r="E5" s="11" t="str">
        <x:v>Must</x:v>
      </x:c>
      <x:c r="F5" s="11" t="str">
        <x:v>W09-10</x:v>
      </x:c>
      <x:c r="G5" s="11" t="str">
        <x:v>待测</x:v>
      </x:c>
      <x:c r="H5" s="11"/>
      <x:c r="I5" s="11"/>
      <x:c r="J5" s="11"/>
    </x:row>
    <x:row r="6" ht="42" customHeight="1">
      <x:c r="A6" s="11" t="str">
        <x:v>MSG-01</x:v>
      </x:c>
      <x:c r="B6" s="11" t="str">
        <x:v>消息</x:v>
      </x:c>
      <x:c r="C6" s="11" t="str">
        <x:v>MQ断连与重启</x:v>
      </x:c>
      <x:c r="D6" s="11" t="str">
        <x:v>未发事件可恢复补发；有界重试</x:v>
      </x:c>
      <x:c r="E6" s="11" t="str">
        <x:v>Must</x:v>
      </x:c>
      <x:c r="F6" s="11" t="str">
        <x:v>W14</x:v>
      </x:c>
      <x:c r="G6" s="11" t="str">
        <x:v>待测</x:v>
      </x:c>
      <x:c r="H6" s="11"/>
      <x:c r="I6" s="11"/>
      <x:c r="J6" s="11"/>
    </x:row>
    <x:row r="7" ht="42" customHeight="1">
      <x:c r="A7" s="11" t="str">
        <x:v>MSG-02</x:v>
      </x:c>
      <x:c r="B7" s="11" t="str">
        <x:v>消息</x:v>
      </x:c>
      <x:c r="C7" s="11" t="str">
        <x:v>双Dispatcher抢任务</x:v>
      </x:c>
      <x:c r="D7" s="11" t="str">
        <x:v>租约/条件更新后安全重领，处理进程崩溃</x:v>
      </x:c>
      <x:c r="E7" s="11" t="str">
        <x:v>Must</x:v>
      </x:c>
      <x:c r="F7" s="11" t="str">
        <x:v>W14/29</x:v>
      </x:c>
      <x:c r="G7" s="11" t="str">
        <x:v>待测</x:v>
      </x:c>
      <x:c r="H7" s="11"/>
      <x:c r="I7" s="11"/>
      <x:c r="J7" s="11"/>
    </x:row>
    <x:row r="8" ht="42" customHeight="1">
      <x:c r="A8" s="11" t="str">
        <x:v>MSG-03</x:v>
      </x:c>
      <x:c r="B8" s="11" t="str">
        <x:v>消息</x:v>
      </x:c>
      <x:c r="C8" s="11" t="str">
        <x:v>ACK前宕机</x:v>
      </x:c>
      <x:c r="D8" s="11" t="str">
        <x:v>重复投递不重复生成通知</x:v>
      </x:c>
      <x:c r="E8" s="11" t="str">
        <x:v>Must</x:v>
      </x:c>
      <x:c r="F8" s="11" t="str">
        <x:v>W15</x:v>
      </x:c>
      <x:c r="G8" s="11" t="str">
        <x:v>待测</x:v>
      </x:c>
      <x:c r="H8" s="11"/>
      <x:c r="I8" s="11"/>
      <x:c r="J8" s="11"/>
    </x:row>
    <x:row r="9" ht="42" customHeight="1">
      <x:c r="A9" s="11" t="str">
        <x:v>SEC-01</x:v>
      </x:c>
      <x:c r="B9" s="11" t="str">
        <x:v>安全</x:v>
      </x:c>
      <x:c r="C9" s="11" t="str">
        <x:v>用户A读B用户订单</x:v>
      </x:c>
      <x:c r="D9" s="11" t="str">
        <x:v>正常API和AI Tool层同时拒绝</x:v>
      </x:c>
      <x:c r="E9" s="11" t="str">
        <x:v>Must</x:v>
      </x:c>
      <x:c r="F9" s="11" t="str">
        <x:v>W05/23/30</x:v>
      </x:c>
      <x:c r="G9" s="11" t="str">
        <x:v>待测</x:v>
      </x:c>
      <x:c r="H9" s="11"/>
      <x:c r="I9" s="11"/>
      <x:c r="J9" s="11"/>
    </x:row>
    <x:row r="10" ht="42" customHeight="1">
      <x:c r="A10" s="11" t="str">
        <x:v>SEC-02</x:v>
      </x:c>
      <x:c r="B10" s="11" t="str">
        <x:v>安全</x:v>
      </x:c>
      <x:c r="C10" s="11" t="str">
        <x:v>恶意模型工具参数</x:v>
      </x:c>
      <x:c r="D10" s="11" t="str">
        <x:v>不能由模型指定userId、执行SQL或调用写订单操作</x:v>
      </x:c>
      <x:c r="E10" s="11" t="str">
        <x:v>Must</x:v>
      </x:c>
      <x:c r="F10" s="11" t="str">
        <x:v>W23-24</x:v>
      </x:c>
      <x:c r="G10" s="11" t="str">
        <x:v>待测</x:v>
      </x:c>
      <x:c r="H10" s="11"/>
      <x:c r="I10" s="11"/>
      <x:c r="J10" s="11"/>
    </x:row>
    <x:row r="11" ht="42" customHeight="1">
      <x:c r="A11" s="11" t="str">
        <x:v>SEC-03</x:v>
      </x:c>
      <x:c r="B11" s="11" t="str">
        <x:v>安全</x:v>
      </x:c>
      <x:c r="C11" s="11" t="str">
        <x:v>JWT伪造与泄露</x:v>
      </x:c>
      <x:c r="D11" s="11" t="str">
        <x:v>伪造401、密钥不入版本库、token不写日志</x:v>
      </x:c>
      <x:c r="E11" s="11" t="str">
        <x:v>Must</x:v>
      </x:c>
      <x:c r="F11" s="11" t="str">
        <x:v>W04/30</x:v>
      </x:c>
      <x:c r="G11" s="11" t="str">
        <x:v>待测</x:v>
      </x:c>
      <x:c r="H11" s="11"/>
      <x:c r="I11" s="11"/>
      <x:c r="J11" s="11"/>
    </x:row>
    <x:row r="12" ht="42" customHeight="1">
      <x:c r="A12" s="11" t="str">
        <x:v>AI-01</x:v>
      </x:c>
      <x:c r="B12" s="11" t="str">
        <x:v>检索</x:v>
      </x:c>
      <x:c r="C12" s="11" t="str">
        <x:v>撤回政策仍被检索</x:v>
      </x:c>
      <x:c r="D12" s="11" t="str">
        <x:v>只返回当前已审核、有效知识源</x:v>
      </x:c>
      <x:c r="E12" s="11" t="str">
        <x:v>Must</x:v>
      </x:c>
      <x:c r="F12" s="11" t="str">
        <x:v>W21-22</x:v>
      </x:c>
      <x:c r="G12" s="11" t="str">
        <x:v>待测</x:v>
      </x:c>
      <x:c r="H12" s="11"/>
      <x:c r="I12" s="11"/>
      <x:c r="J12" s="11"/>
    </x:row>
    <x:row r="13" ht="42" customHeight="1">
      <x:c r="A13" s="11" t="str">
        <x:v>AI-02</x:v>
      </x:c>
      <x:c r="B13" s="11" t="str">
        <x:v>问答</x:v>
      </x:c>
      <x:c r="C13" s="11" t="str">
        <x:v>无答案与伪造引用</x:v>
      </x:c>
      <x:c r="D13" s="11" t="str">
        <x:v>拒答或转人工，citations必须可验证</x:v>
      </x:c>
      <x:c r="E13" s="11" t="str">
        <x:v>Must</x:v>
      </x:c>
      <x:c r="F13" s="11" t="str">
        <x:v>W22</x:v>
      </x:c>
      <x:c r="G13" s="11" t="str">
        <x:v>待测</x:v>
      </x:c>
      <x:c r="H13" s="11"/>
      <x:c r="I13" s="11"/>
      <x:c r="J13" s="11"/>
    </x:row>
    <x:row r="14" ht="42" customHeight="1">
      <x:c r="A14" s="11" t="str">
        <x:v>AI-03</x:v>
      </x:c>
      <x:c r="B14" s="11" t="str">
        <x:v>安全</x:v>
      </x:c>
      <x:c r="C14" s="11" t="str">
        <x:v>RAG知识库提示词注入</x:v>
      </x:c>
      <x:c r="D14" s="11" t="str">
        <x:v>低可信知识不能变更权限或触发外部动作</x:v>
      </x:c>
      <x:c r="E14" s="11" t="str">
        <x:v>Must</x:v>
      </x:c>
      <x:c r="F14" s="11" t="str">
        <x:v>W24</x:v>
      </x:c>
      <x:c r="G14" s="11" t="str">
        <x:v>待测</x:v>
      </x:c>
      <x:c r="H14" s="11"/>
      <x:c r="I14" s="11"/>
      <x:c r="J14" s="11"/>
    </x:row>
    <x:row r="15" ht="42" customHeight="1">
      <x:c r="A15" s="11" t="str">
        <x:v>AI-04</x:v>
      </x:c>
      <x:c r="B15" s="11" t="str">
        <x:v>AI成本</x:v>
      </x:c>
      <x:c r="C15" s="11" t="str">
        <x:v>高频/长上下文请求</x:v>
      </x:c>
      <x:c r="D15" s="11" t="str">
        <x:v>限流、限额、超时、成本预算生效</x:v>
      </x:c>
      <x:c r="E15" s="11" t="str">
        <x:v>Must</x:v>
      </x:c>
      <x:c r="F15" s="11" t="str">
        <x:v>W20/25</x:v>
      </x:c>
      <x:c r="G15" s="11" t="str">
        <x:v>待测</x:v>
      </x:c>
      <x:c r="H15" s="11"/>
      <x:c r="I15" s="11"/>
      <x:c r="J15" s="11"/>
    </x:row>
    <x:row r="16" ht="42" customHeight="1">
      <x:c r="A16" s="11" t="str">
        <x:v>AI-05</x:v>
      </x:c>
      <x:c r="B16" s="11" t="str">
        <x:v>模型容错</x:v>
      </x:c>
      <x:c r="C16" s="11" t="str">
        <x:v>模型429/5xx/超时</x:v>
      </x:c>
      <x:c r="D16" s="11" t="str">
        <x:v>AI降级，普通订单/库存接口正常</x:v>
      </x:c>
      <x:c r="E16" s="11" t="str">
        <x:v>Must</x:v>
      </x:c>
      <x:c r="F16" s="11" t="str">
        <x:v>W19/25</x:v>
      </x:c>
      <x:c r="G16" s="11" t="str">
        <x:v>待测</x:v>
      </x:c>
      <x:c r="H16" s="11"/>
      <x:c r="I16" s="11"/>
      <x:c r="J16" s="11"/>
    </x:row>
    <x:row r="17" ht="42" customHeight="1">
      <x:c r="A17" s="11" t="str">
        <x:v>OPS-01</x:v>
      </x:c>
      <x:c r="B17" s="11" t="str">
        <x:v>部署</x:v>
      </x:c>
      <x:c r="C17" s="11" t="str">
        <x:v>新旧版本DB兼容</x:v>
      </x:c>
      <x:c r="D17" s="11" t="str">
        <x:v>Expand-Migrate-Contract + 旧应用回滚演练</x:v>
      </x:c>
      <x:c r="E17" s="11" t="str">
        <x:v>Must</x:v>
      </x:c>
      <x:c r="F17" s="11" t="str">
        <x:v>W12/31</x:v>
      </x:c>
      <x:c r="G17" s="11" t="str">
        <x:v>待测</x:v>
      </x:c>
      <x:c r="H17" s="11"/>
      <x:c r="I17" s="11"/>
      <x:c r="J17" s="11"/>
    </x:row>
    <x:row r="18" ht="42" customHeight="1">
      <x:c r="A18" s="11" t="str">
        <x:v>OPS-02</x:v>
      </x:c>
      <x:c r="B18" s="11" t="str">
        <x:v>部署</x:v>
      </x:c>
      <x:c r="C18" s="11" t="str">
        <x:v>全新环境部署</x:v>
      </x:c>
      <x:c r="D18" s="11" t="str">
        <x:v>仓库克隆后通过测试和业务冒烟</x:v>
      </x:c>
      <x:c r="E18" s="11" t="str">
        <x:v>Must</x:v>
      </x:c>
      <x:c r="F18" s="11" t="str">
        <x:v>W16/34</x:v>
      </x:c>
      <x:c r="G18" s="11" t="str">
        <x:v>待测</x:v>
      </x:c>
      <x:c r="H18" s="11"/>
      <x:c r="I18" s="11"/>
      <x:c r="J18" s="11"/>
    </x:row>
    <x:row r="19" ht="42" customHeight="1">
      <x:c r="A19" s="11" t="str">
        <x:v>OPS-03</x:v>
      </x:c>
      <x:c r="B19" s="11" t="str">
        <x:v>依赖</x:v>
      </x:c>
      <x:c r="C19" s="11" t="str">
        <x:v>模块依赖越界</x:v>
      </x:c>
      <x:c r="D19" s="11" t="str">
        <x:v>CI中的架构测试阻止循环和跨内部包访问</x:v>
      </x:c>
      <x:c r="E19" s="11" t="str">
        <x:v>Should</x:v>
      </x:c>
      <x:c r="F19" s="11" t="str">
        <x:v>W11</x:v>
      </x:c>
      <x:c r="G19" s="11" t="str">
        <x:v>待测</x:v>
      </x:c>
      <x:c r="H19" s="11"/>
      <x:c r="I19" s="11"/>
      <x:c r="J19" s="11"/>
    </x:row>
    <x:row r="20" ht="42" customHeight="1">
      <x:c r="A20" s="11" t="str">
        <x:v>OPS-04</x:v>
      </x:c>
      <x:c r="B20" s="11" t="str">
        <x:v>恢复</x:v>
      </x:c>
      <x:c r="C20" s="11" t="str">
        <x:v>MySQL备份/恢复</x:v>
      </x:c>
      <x:c r="D20" s="11" t="str">
        <x:v>新容器重建并通过冒烟测试</x:v>
      </x:c>
      <x:c r="E20" s="11" t="str">
        <x:v>Should</x:v>
      </x:c>
      <x:c r="F20" s="11" t="str">
        <x:v>W29</x:v>
      </x:c>
      <x:c r="G20" s="11" t="str">
        <x:v>待测</x:v>
      </x:c>
      <x:c r="H20" s="11"/>
      <x:c r="I20" s="11"/>
      <x:c r="J20" s="11"/>
    </x:row>
    <x:row r="21" ht="42" customHeight="1">
      <x:c r="A21" s="11" t="str">
        <x:v>AI-06</x:v>
      </x:c>
      <x:c r="B21" s="11" t="str">
        <x:v>评测</x:v>
      </x:c>
      <x:c r="C21" s="11" t="str">
        <x:v>RAG对照实验</x:v>
      </x:c>
      <x:c r="D21" s="11" t="str">
        <x:v>直答vsRAG、chunk大小、Top-K有真实测量结果</x:v>
      </x:c>
      <x:c r="E21" s="11" t="str">
        <x:v>Should</x:v>
      </x:c>
      <x:c r="F21" s="11" t="str">
        <x:v>W21-22</x:v>
      </x:c>
      <x:c r="G21" s="11" t="str">
        <x:v>待测</x:v>
      </x:c>
      <x:c r="H21" s="11"/>
      <x:c r="I21" s="11"/>
      <x:c r="J21" s="11"/>
    </x:row>
  </x:sheetData>
  <x:conditionalFormatting sqref="G2:G21">
    <x:cfRule type="expression" dxfId="3" priority="1">
      <x:formula>$G2="失败"</x:formula>
    </x:cfRule>
  </x:conditionalFormatting>
  <x:dataValidations count="1">
    <x:dataValidation type="list" sqref="G2:G21">
      <x:formula1>"待测,进行中,通过,失败,不适用（说明）"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5" hidden="0" customWidth="1"/>
    <x:col min="2" max="2" width="33" hidden="0" customWidth="1"/>
    <x:col min="3" max="3" width="66" hidden="0" customWidth="1"/>
    <x:col min="4" max="4" width="52" hidden="0" customWidth="1"/>
    <x:col min="5" max="5" width="18" hidden="0" customWidth="1"/>
    <x:col min="6" max="6" width="28" hidden="0" customWidth="1"/>
    <x:col min="7" max="7" width="27" hidden="0" customWidth="1"/>
    <x:col min="8" max="8" width="12" hidden="0" customWidth="1"/>
    <x:col min="9" max="9" width="45" hidden="0" customWidth="1"/>
    <x:col min="10" max="10" width="17" hidden="0" customWidth="1"/>
    <x:col min="11" max="11" width="42" hidden="0" customWidth="1"/>
    <x:col min="12" max="12" width="42" hidden="0" customWidth="1"/>
  </x:cols>
  <x:sheetData>
    <x:row r="1" ht="32" customHeight="1">
      <x:c r="A1" s="5" t="str">
        <x:v>实验ID</x:v>
      </x:c>
      <x:c r="B1" s="5" t="str">
        <x:v>实验主题</x:v>
      </x:c>
      <x:c r="C1" s="5" t="str">
        <x:v>控制变量与方法</x:v>
      </x:c>
      <x:c r="D1" s="5" t="str">
        <x:v>核心指标</x:v>
      </x:c>
      <x:c r="E1" s="5" t="str">
        <x:v>实施阶段</x:v>
      </x:c>
      <x:c r="F1" s="5" t="str">
        <x:v>基准模型/版本</x:v>
      </x:c>
      <x:c r="G1" s="5" t="str">
        <x:v>知识库索引版本</x:v>
      </x:c>
      <x:c r="H1" s="5" t="str">
        <x:v>样本数</x:v>
      </x:c>
      <x:c r="I1" s="5" t="str">
        <x:v>真实结果</x:v>
      </x:c>
      <x:c r="J1" s="5" t="str">
        <x:v>通过/失败</x:v>
      </x:c>
      <x:c r="K1" s="5" t="str">
        <x:v>原始数据路径</x:v>
      </x:c>
      <x:c r="L1" s="5" t="str">
        <x:v>报告链接</x:v>
      </x:c>
    </x:row>
    <x:row r="2" ht="42" customHeight="1">
      <x:c r="A2" s="11" t="str">
        <x:v>EVAL-01</x:v>
      </x:c>
      <x:c r="B2" s="11" t="str">
        <x:v>LLM直接回答 vs RAG</x:v>
      </x:c>
      <x:c r="C2" s="11" t="str">
        <x:v>同40条问答、固定模型与温度</x:v>
      </x:c>
      <x:c r="D2" s="11" t="str">
        <x:v>正确回答率/引用有效率/拒答率</x:v>
      </x:c>
      <x:c r="E2" s="11" t="str">
        <x:v>第22周</x:v>
      </x:c>
      <x:c r="F2" s="11"/>
      <x:c r="G2" s="11"/>
      <x:c r="H2" s="11"/>
      <x:c r="I2" s="17"/>
      <x:c r="J2" s="17" t="str">
        <x:v>未测</x:v>
      </x:c>
      <x:c r="K2" s="17"/>
      <x:c r="L2" s="17"/>
    </x:row>
    <x:row r="3" ht="42" customHeight="1">
      <x:c r="A3" s="11" t="str">
        <x:v>EVAL-02</x:v>
      </x:c>
      <x:c r="B3" s="11" t="str">
        <x:v>Chunk大小对照</x:v>
      </x:c>
      <x:c r="C3" s="11" t="str">
        <x:v>固定知识库、模型与Top-K，只改变chunk参数</x:v>
      </x:c>
      <x:c r="D3" s="11" t="str">
        <x:v>Recall@K、p95、引用有效率</x:v>
      </x:c>
      <x:c r="E3" s="11" t="str">
        <x:v>第21-22周</x:v>
      </x:c>
      <x:c r="F3" s="11"/>
      <x:c r="G3" s="11"/>
      <x:c r="H3" s="11"/>
      <x:c r="I3" s="17"/>
      <x:c r="J3" s="17" t="str">
        <x:v>未测</x:v>
      </x:c>
      <x:c r="K3" s="17"/>
      <x:c r="L3" s="17"/>
    </x:row>
    <x:row r="4" ht="42" customHeight="1">
      <x:c r="A4" s="11" t="str">
        <x:v>EVAL-03</x:v>
      </x:c>
      <x:c r="B4" s="11" t="str">
        <x:v>Top-K取值</x:v>
      </x:c>
      <x:c r="C4" s="11" t="str">
        <x:v>固定模型、chunk与知识版本，只改变K</x:v>
      </x:c>
      <x:c r="D4" s="11" t="str">
        <x:v>Recall@K、Token与延迟</x:v>
      </x:c>
      <x:c r="E4" s="11" t="str">
        <x:v>第22周</x:v>
      </x:c>
      <x:c r="F4" s="11"/>
      <x:c r="G4" s="11"/>
      <x:c r="H4" s="11"/>
      <x:c r="I4" s="17"/>
      <x:c r="J4" s="17" t="str">
        <x:v>未测</x:v>
      </x:c>
      <x:c r="K4" s="17"/>
      <x:c r="L4" s="17"/>
    </x:row>
    <x:row r="5" ht="42" customHeight="1">
      <x:c r="A5" s="11" t="str">
        <x:v>EVAL-04</x:v>
      </x:c>
      <x:c r="B5" s="11" t="str">
        <x:v>政策撤回回归</x:v>
      </x:c>
      <x:c r="C5" s="11" t="str">
        <x:v>固定问题，模拟撤回某一版本政策</x:v>
      </x:c>
      <x:c r="D5" s="11" t="str">
        <x:v>失效引用数量=0</x:v>
      </x:c>
      <x:c r="E5" s="11" t="str">
        <x:v>第22周</x:v>
      </x:c>
      <x:c r="F5" s="11"/>
      <x:c r="G5" s="11"/>
      <x:c r="H5" s="11"/>
      <x:c r="I5" s="17"/>
      <x:c r="J5" s="17" t="str">
        <x:v>未测</x:v>
      </x:c>
      <x:c r="K5" s="17"/>
      <x:c r="L5" s="17"/>
    </x:row>
    <x:row r="6" ht="42" customHeight="1">
      <x:c r="A6" s="11" t="str">
        <x:v>EVAL-05</x:v>
      </x:c>
      <x:c r="B6" s="11" t="str">
        <x:v>Tool授权攻击</x:v>
      </x:c>
      <x:c r="C6" s="11" t="str">
        <x:v>登录/未登录/跨用户/角色伪造等攻击集</x:v>
      </x:c>
      <x:c r="D6" s="11" t="str">
        <x:v>越权用例通过率100%</x:v>
      </x:c>
      <x:c r="E6" s="11" t="str">
        <x:v>第23-24周</x:v>
      </x:c>
      <x:c r="F6" s="11"/>
      <x:c r="G6" s="11"/>
      <x:c r="H6" s="11"/>
      <x:c r="I6" s="17"/>
      <x:c r="J6" s="17" t="str">
        <x:v>未测</x:v>
      </x:c>
      <x:c r="K6" s="17"/>
      <x:c r="L6" s="17"/>
    </x:row>
    <x:row r="7" ht="42" customHeight="1">
      <x:c r="A7" s="11" t="str">
        <x:v>EVAL-06</x:v>
      </x:c>
      <x:c r="B7" s="11" t="str">
        <x:v>AI Provider故障和预算</x:v>
      </x:c>
      <x:c r="C7" s="11" t="str">
        <x:v>固定FakeProvider、超时和429样本</x:v>
      </x:c>
      <x:c r="D7" s="11" t="str">
        <x:v>限额生效、降级率、订单可用性</x:v>
      </x:c>
      <x:c r="E7" s="11" t="str">
        <x:v>第25周</x:v>
      </x:c>
      <x:c r="F7" s="11"/>
      <x:c r="G7" s="11"/>
      <x:c r="H7" s="11"/>
      <x:c r="I7" s="17"/>
      <x:c r="J7" s="17" t="str">
        <x:v>未测</x:v>
      </x:c>
      <x:c r="K7" s="17"/>
      <x:c r="L7" s="17"/>
    </x:row>
    <x:row r="8" ht="42" customHeight="1">
      <x:c r="A8" s="11" t="str">
        <x:v>EVAL-07</x:v>
      </x:c>
      <x:c r="B8" s="11" t="str">
        <x:v>模型迁移（可选）</x:v>
      </x:c>
      <x:c r="C8" s="11" t="str">
        <x:v>相同Prompt、相同Tools、同一评测集</x:v>
      </x:c>
      <x:c r="D8" s="11" t="str">
        <x:v>成本/成功率/延迟对照</x:v>
      </x:c>
      <x:c r="E8" s="11" t="str">
        <x:v>第27周</x:v>
      </x:c>
      <x:c r="F8" s="11"/>
      <x:c r="G8" s="11"/>
      <x:c r="H8" s="11"/>
      <x:c r="I8" s="17"/>
      <x:c r="J8" s="17" t="str">
        <x:v>未测</x:v>
      </x:c>
      <x:c r="K8" s="17"/>
      <x:c r="L8" s="17"/>
    </x:row>
  </x:sheetData>
  <x:dataValidations count="1">
    <x:dataValidation type="list" sqref="J2:J8">
      <x:formula1>"未测,通过,失败,需复测,取消（选做）"</x:formula1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28" hidden="0" customWidth="1"/>
    <x:col min="3" max="3" width="17" hidden="0" customWidth="1"/>
    <x:col min="4" max="4" width="14" hidden="0" customWidth="1"/>
    <x:col min="5" max="5" width="25" hidden="0" customWidth="1"/>
    <x:col min="6" max="6" width="55" hidden="0" customWidth="1"/>
    <x:col min="7" max="7" width="50" hidden="0" customWidth="1"/>
    <x:col min="8" max="8" width="47" hidden="0" customWidth="1"/>
    <x:col min="9" max="9" width="16" hidden="0" customWidth="1"/>
    <x:col min="10" max="10" width="17" hidden="0" customWidth="1"/>
    <x:col min="11" max="11" width="55" hidden="0" customWidth="1"/>
    <x:col min="12" max="12" width="45" hidden="0" customWidth="1"/>
  </x:cols>
  <x:sheetData>
    <x:row r="1" ht="32" customHeight="1">
      <x:c r="A1" s="5" t="str">
        <x:v>企业</x:v>
      </x:c>
      <x:c r="B1" s="5" t="str">
        <x:v>岗位</x:v>
      </x:c>
      <x:c r="C1" s="5" t="str">
        <x:v>城市</x:v>
      </x:c>
      <x:c r="D1" s="5" t="str">
        <x:v>面向届别</x:v>
      </x:c>
      <x:c r="E1" s="5" t="str">
        <x:v>公告起止/批次</x:v>
      </x:c>
      <x:c r="F1" s="5" t="str">
        <x:v>岗位链接</x:v>
      </x:c>
      <x:c r="G1" s="5" t="str">
        <x:v>硬性要求</x:v>
      </x:c>
      <x:c r="H1" s="5" t="str">
        <x:v>与项目证据对应</x:v>
      </x:c>
      <x:c r="I1" s="5" t="str">
        <x:v>申请日期</x:v>
      </x:c>
      <x:c r="J1" s="5" t="str">
        <x:v>状态</x:v>
      </x:c>
      <x:c r="K1" s="5" t="str">
        <x:v>笔试/面试反馈</x:v>
      </x:c>
      <x:c r="L1" s="5" t="str">
        <x:v>下一步动作</x:v>
      </x:c>
    </x:row>
    <x:row r="2" ht="34" customHeight="1">
      <x:c r="A2" s="11"/>
      <x:c r="B2" s="11"/>
      <x:c r="C2" s="11"/>
      <x:c r="D2" s="11"/>
      <x:c r="E2" s="11"/>
      <x:c r="F2" s="11"/>
      <x:c r="G2" s="11"/>
      <x:c r="H2" s="11"/>
      <x:c r="I2" s="11"/>
      <x:c r="J2" s="11"/>
      <x:c r="K2" s="11"/>
      <x:c r="L2" s="11"/>
    </x:row>
    <x:row r="3" ht="34" customHeight="1">
      <x:c r="A3" s="11"/>
      <x:c r="B3" s="11"/>
      <x:c r="C3" s="11"/>
      <x:c r="D3" s="11"/>
      <x:c r="E3" s="11"/>
      <x:c r="F3" s="11"/>
      <x:c r="G3" s="11"/>
      <x:c r="H3" s="11"/>
      <x:c r="I3" s="11"/>
      <x:c r="J3" s="11"/>
      <x:c r="K3" s="11"/>
      <x:c r="L3" s="11"/>
    </x:row>
    <x:row r="4" ht="34" customHeight="1">
      <x:c r="A4" s="11"/>
      <x:c r="B4" s="11"/>
      <x:c r="C4" s="11"/>
      <x:c r="D4" s="11"/>
      <x:c r="E4" s="11"/>
      <x:c r="F4" s="11"/>
      <x:c r="G4" s="11"/>
      <x:c r="H4" s="11"/>
      <x:c r="I4" s="11"/>
      <x:c r="J4" s="11"/>
      <x:c r="K4" s="11"/>
      <x:c r="L4" s="11"/>
    </x:row>
    <x:row r="5" ht="34" customHeight="1">
      <x:c r="A5" s="11"/>
      <x:c r="B5" s="11"/>
      <x:c r="C5" s="11"/>
      <x:c r="D5" s="11"/>
      <x:c r="E5" s="11"/>
      <x:c r="F5" s="11"/>
      <x:c r="G5" s="11"/>
      <x:c r="H5" s="11"/>
      <x:c r="I5" s="11"/>
      <x:c r="J5" s="11"/>
      <x:c r="K5" s="11"/>
      <x:c r="L5" s="11"/>
    </x:row>
    <x:row r="6" ht="34" customHeight="1">
      <x:c r="A6" s="11"/>
      <x:c r="B6" s="11"/>
      <x:c r="C6" s="11"/>
      <x:c r="D6" s="11"/>
      <x:c r="E6" s="11"/>
      <x:c r="F6" s="11"/>
      <x:c r="G6" s="11"/>
      <x:c r="H6" s="11"/>
      <x:c r="I6" s="11"/>
      <x:c r="J6" s="11"/>
      <x:c r="K6" s="11"/>
      <x:c r="L6" s="11"/>
    </x:row>
    <x:row r="7" ht="34" customHeight="1">
      <x:c r="A7" s="11"/>
      <x:c r="B7" s="11"/>
      <x:c r="C7" s="11"/>
      <x:c r="D7" s="11"/>
      <x:c r="E7" s="11"/>
      <x:c r="F7" s="11"/>
      <x:c r="G7" s="11"/>
      <x:c r="H7" s="11"/>
      <x:c r="I7" s="11"/>
      <x:c r="J7" s="11"/>
      <x:c r="K7" s="11"/>
      <x:c r="L7" s="11"/>
    </x:row>
    <x:row r="8" ht="34" customHeight="1">
      <x:c r="A8" s="11"/>
      <x:c r="B8" s="11"/>
      <x:c r="C8" s="11"/>
      <x:c r="D8" s="11"/>
      <x:c r="E8" s="11"/>
      <x:c r="F8" s="11"/>
      <x:c r="G8" s="11"/>
      <x:c r="H8" s="11"/>
      <x:c r="I8" s="11"/>
      <x:c r="J8" s="11"/>
      <x:c r="K8" s="11"/>
      <x:c r="L8" s="11"/>
    </x:row>
    <x:row r="9" ht="34" customHeight="1">
      <x:c r="A9" s="11"/>
      <x:c r="B9" s="11"/>
      <x:c r="C9" s="11"/>
      <x:c r="D9" s="11"/>
      <x:c r="E9" s="11"/>
      <x:c r="F9" s="11"/>
      <x:c r="G9" s="11"/>
      <x:c r="H9" s="11"/>
      <x:c r="I9" s="11"/>
      <x:c r="J9" s="11"/>
      <x:c r="K9" s="11"/>
      <x:c r="L9" s="11"/>
    </x:row>
    <x:row r="10" ht="34" customHeight="1">
      <x:c r="A10" s="11"/>
      <x:c r="B10" s="11"/>
      <x:c r="C10" s="11"/>
      <x:c r="D10" s="11"/>
      <x:c r="E10" s="11"/>
      <x:c r="F10" s="11"/>
      <x:c r="G10" s="11"/>
      <x:c r="H10" s="11"/>
      <x:c r="I10" s="11"/>
      <x:c r="J10" s="11"/>
      <x:c r="K10" s="11"/>
      <x:c r="L10" s="11"/>
    </x:row>
    <x:row r="11" ht="34" customHeight="1">
      <x:c r="A11" s="11"/>
      <x:c r="B11" s="11"/>
      <x:c r="C11" s="11"/>
      <x:c r="D11" s="11"/>
      <x:c r="E11" s="11"/>
      <x:c r="F11" s="11"/>
      <x:c r="G11" s="11"/>
      <x:c r="H11" s="11"/>
      <x:c r="I11" s="11"/>
      <x:c r="J11" s="11"/>
      <x:c r="K11" s="11"/>
      <x:c r="L11" s="11"/>
    </x:row>
    <x:row r="12" ht="34" customHeight="1">
      <x:c r="A12" s="11"/>
      <x:c r="B12" s="11"/>
      <x:c r="C12" s="11"/>
      <x:c r="D12" s="11"/>
      <x:c r="E12" s="11"/>
      <x:c r="F12" s="11"/>
      <x:c r="G12" s="11"/>
      <x:c r="H12" s="11"/>
      <x:c r="I12" s="11"/>
      <x:c r="J12" s="11"/>
      <x:c r="K12" s="11"/>
      <x:c r="L12" s="11"/>
    </x:row>
    <x:row r="13" ht="34" customHeight="1">
      <x:c r="A13" s="11"/>
      <x:c r="B13" s="11"/>
      <x:c r="C13" s="11"/>
      <x:c r="D13" s="11"/>
      <x:c r="E13" s="11"/>
      <x:c r="F13" s="11"/>
      <x:c r="G13" s="11"/>
      <x:c r="H13" s="11"/>
      <x:c r="I13" s="11"/>
      <x:c r="J13" s="11"/>
      <x:c r="K13" s="11"/>
      <x:c r="L13" s="11"/>
    </x:row>
    <x:row r="14" ht="34" customHeight="1">
      <x:c r="A14" s="11"/>
      <x:c r="B14" s="11"/>
      <x:c r="C14" s="11"/>
      <x:c r="D14" s="11"/>
      <x:c r="E14" s="11"/>
      <x:c r="F14" s="11"/>
      <x:c r="G14" s="11"/>
      <x:c r="H14" s="11"/>
      <x:c r="I14" s="11"/>
      <x:c r="J14" s="11"/>
      <x:c r="K14" s="11"/>
      <x:c r="L14" s="11"/>
    </x:row>
    <x:row r="15" ht="34" customHeight="1">
      <x:c r="A15" s="11"/>
      <x:c r="B15" s="11"/>
      <x:c r="C15" s="11"/>
      <x:c r="D15" s="11"/>
      <x:c r="E15" s="11"/>
      <x:c r="F15" s="11"/>
      <x:c r="G15" s="11"/>
      <x:c r="H15" s="11"/>
      <x:c r="I15" s="11"/>
      <x:c r="J15" s="11"/>
      <x:c r="K15" s="11"/>
      <x:c r="L15" s="11"/>
    </x:row>
    <x:row r="16" ht="34" customHeight="1">
      <x:c r="A16" s="11"/>
      <x:c r="B16" s="11"/>
      <x:c r="C16" s="11"/>
      <x:c r="D16" s="11"/>
      <x:c r="E16" s="11"/>
      <x:c r="F16" s="11"/>
      <x:c r="G16" s="11"/>
      <x:c r="H16" s="11"/>
      <x:c r="I16" s="11"/>
      <x:c r="J16" s="11"/>
      <x:c r="K16" s="11"/>
      <x:c r="L16" s="11"/>
    </x:row>
    <x:row r="17" ht="34" customHeight="1">
      <x:c r="A17" s="11"/>
      <x:c r="B17" s="11"/>
      <x:c r="C17" s="11"/>
      <x:c r="D17" s="11"/>
      <x:c r="E17" s="11"/>
      <x:c r="F17" s="11"/>
      <x:c r="G17" s="11"/>
      <x:c r="H17" s="11"/>
      <x:c r="I17" s="11"/>
      <x:c r="J17" s="11"/>
      <x:c r="K17" s="11"/>
      <x:c r="L17" s="11"/>
    </x:row>
    <x:row r="18" ht="34" customHeight="1">
      <x:c r="A18" s="11"/>
      <x:c r="B18" s="11"/>
      <x:c r="C18" s="11"/>
      <x:c r="D18" s="11"/>
      <x:c r="E18" s="11"/>
      <x:c r="F18" s="11"/>
      <x:c r="G18" s="11"/>
      <x:c r="H18" s="11"/>
      <x:c r="I18" s="11"/>
      <x:c r="J18" s="11"/>
      <x:c r="K18" s="11"/>
      <x:c r="L18" s="11"/>
    </x:row>
    <x:row r="19" ht="34" customHeight="1">
      <x:c r="A19" s="11"/>
      <x:c r="B19" s="11"/>
      <x:c r="C19" s="11"/>
      <x:c r="D19" s="11"/>
      <x:c r="E19" s="11"/>
      <x:c r="F19" s="11"/>
      <x:c r="G19" s="11"/>
      <x:c r="H19" s="11"/>
      <x:c r="I19" s="11"/>
      <x:c r="J19" s="11"/>
      <x:c r="K19" s="11"/>
      <x:c r="L19" s="11"/>
    </x:row>
    <x:row r="20" ht="34" customHeight="1">
      <x:c r="A20" s="11"/>
      <x:c r="B20" s="11"/>
      <x:c r="C20" s="11"/>
      <x:c r="D20" s="11"/>
      <x:c r="E20" s="11"/>
      <x:c r="F20" s="11"/>
      <x:c r="G20" s="11"/>
      <x:c r="H20" s="11"/>
      <x:c r="I20" s="11"/>
      <x:c r="J20" s="11"/>
      <x:c r="K20" s="11"/>
      <x:c r="L20" s="11"/>
    </x:row>
    <x:row r="21" ht="34" customHeight="1">
      <x:c r="A21" s="11"/>
      <x:c r="B21" s="11"/>
      <x:c r="C21" s="11"/>
      <x:c r="D21" s="11"/>
      <x:c r="E21" s="11"/>
      <x:c r="F21" s="11"/>
      <x:c r="G21" s="11"/>
      <x:c r="H21" s="11"/>
      <x:c r="I21" s="11"/>
      <x:c r="J21" s="11"/>
      <x:c r="K21" s="11"/>
      <x:c r="L21" s="11"/>
    </x:row>
    <x:row r="22" ht="34" customHeight="1">
      <x:c r="A22" s="11"/>
      <x:c r="B22" s="11"/>
      <x:c r="C22" s="11"/>
      <x:c r="D22" s="11"/>
      <x:c r="E22" s="11"/>
      <x:c r="F22" s="11"/>
      <x:c r="G22" s="11"/>
      <x:c r="H22" s="11"/>
      <x:c r="I22" s="11"/>
      <x:c r="J22" s="11"/>
      <x:c r="K22" s="11"/>
      <x:c r="L22" s="11"/>
    </x:row>
    <x:row r="23" ht="34" customHeight="1">
      <x:c r="A23" s="11"/>
      <x:c r="B23" s="11"/>
      <x:c r="C23" s="11"/>
      <x:c r="D23" s="11"/>
      <x:c r="E23" s="11"/>
      <x:c r="F23" s="11"/>
      <x:c r="G23" s="11"/>
      <x:c r="H23" s="11"/>
      <x:c r="I23" s="11"/>
      <x:c r="J23" s="11"/>
      <x:c r="K23" s="11"/>
      <x:c r="L23" s="11"/>
    </x:row>
    <x:row r="24" ht="34" customHeight="1">
      <x:c r="A24" s="11"/>
      <x:c r="B24" s="11"/>
      <x:c r="C24" s="11"/>
      <x:c r="D24" s="11"/>
      <x:c r="E24" s="11"/>
      <x:c r="F24" s="11"/>
      <x:c r="G24" s="11"/>
      <x:c r="H24" s="11"/>
      <x:c r="I24" s="11"/>
      <x:c r="J24" s="11"/>
      <x:c r="K24" s="11"/>
      <x:c r="L24" s="11"/>
    </x:row>
    <x:row r="25" ht="34" customHeight="1">
      <x:c r="A25" s="11"/>
      <x:c r="B25" s="11"/>
      <x:c r="C25" s="11"/>
      <x:c r="D25" s="11"/>
      <x:c r="E25" s="11"/>
      <x:c r="F25" s="11"/>
      <x:c r="G25" s="11"/>
      <x:c r="H25" s="11"/>
      <x:c r="I25" s="11"/>
      <x:c r="J25" s="11"/>
      <x:c r="K25" s="11"/>
      <x:c r="L25" s="11"/>
    </x:row>
    <x:row r="26" ht="34" customHeight="1">
      <x:c r="A26" s="11"/>
      <x:c r="B26" s="11"/>
      <x:c r="C26" s="11"/>
      <x:c r="D26" s="11"/>
      <x:c r="E26" s="11"/>
      <x:c r="F26" s="11"/>
      <x:c r="G26" s="11"/>
      <x:c r="H26" s="11"/>
      <x:c r="I26" s="11"/>
      <x:c r="J26" s="11"/>
      <x:c r="K26" s="11"/>
      <x:c r="L26" s="11"/>
    </x:row>
    <x:row r="27" ht="34" customHeight="1">
      <x:c r="A27" s="11"/>
      <x:c r="B27" s="11"/>
      <x:c r="C27" s="11"/>
      <x:c r="D27" s="11"/>
      <x:c r="E27" s="11"/>
      <x:c r="F27" s="11"/>
      <x:c r="G27" s="11"/>
      <x:c r="H27" s="11"/>
      <x:c r="I27" s="11"/>
      <x:c r="J27" s="11"/>
      <x:c r="K27" s="11"/>
      <x:c r="L27" s="11"/>
    </x:row>
    <x:row r="28" ht="34" customHeight="1">
      <x:c r="A28" s="11"/>
      <x:c r="B28" s="11"/>
      <x:c r="C28" s="11"/>
      <x:c r="D28" s="11"/>
      <x:c r="E28" s="11"/>
      <x:c r="F28" s="11"/>
      <x:c r="G28" s="11"/>
      <x:c r="H28" s="11"/>
      <x:c r="I28" s="11"/>
      <x:c r="J28" s="11"/>
      <x:c r="K28" s="11"/>
      <x:c r="L28" s="11"/>
    </x:row>
    <x:row r="29" ht="34" customHeight="1">
      <x:c r="A29" s="11"/>
      <x:c r="B29" s="11"/>
      <x:c r="C29" s="11"/>
      <x:c r="D29" s="11"/>
      <x:c r="E29" s="11"/>
      <x:c r="F29" s="11"/>
      <x:c r="G29" s="11"/>
      <x:c r="H29" s="11"/>
      <x:c r="I29" s="11"/>
      <x:c r="J29" s="11"/>
      <x:c r="K29" s="11"/>
      <x:c r="L29" s="11"/>
    </x:row>
    <x:row r="30" ht="34" customHeight="1">
      <x:c r="A30" s="11"/>
      <x:c r="B30" s="11"/>
      <x:c r="C30" s="11"/>
      <x:c r="D30" s="11"/>
      <x:c r="E30" s="11"/>
      <x:c r="F30" s="11"/>
      <x:c r="G30" s="11"/>
      <x:c r="H30" s="11"/>
      <x:c r="I30" s="11"/>
      <x:c r="J30" s="11"/>
      <x:c r="K30" s="11"/>
      <x:c r="L30" s="11"/>
    </x:row>
    <x:row r="31" ht="34" customHeight="1">
      <x:c r="A31" s="11"/>
      <x:c r="B31" s="11"/>
      <x:c r="C31" s="11"/>
      <x:c r="D31" s="11"/>
      <x:c r="E31" s="11"/>
      <x:c r="F31" s="11"/>
      <x:c r="G31" s="11"/>
      <x:c r="H31" s="11"/>
      <x:c r="I31" s="11"/>
      <x:c r="J31" s="11"/>
      <x:c r="K31" s="11"/>
      <x:c r="L31" s="11"/>
    </x:row>
    <x:row r="32" ht="34" customHeight="1">
      <x:c r="A32" s="11"/>
      <x:c r="B32" s="11"/>
      <x:c r="C32" s="11"/>
      <x:c r="D32" s="11"/>
      <x:c r="E32" s="11"/>
      <x:c r="F32" s="11"/>
      <x:c r="G32" s="11"/>
      <x:c r="H32" s="11"/>
      <x:c r="I32" s="11"/>
      <x:c r="J32" s="11"/>
      <x:c r="K32" s="11"/>
      <x:c r="L32" s="11"/>
    </x:row>
    <x:row r="33" ht="34" customHeight="1">
      <x:c r="A33" s="11"/>
      <x:c r="B33" s="11"/>
      <x:c r="C33" s="11"/>
      <x:c r="D33" s="11"/>
      <x:c r="E33" s="11"/>
      <x:c r="F33" s="11"/>
      <x:c r="G33" s="11"/>
      <x:c r="H33" s="11"/>
      <x:c r="I33" s="11"/>
      <x:c r="J33" s="11"/>
      <x:c r="K33" s="11"/>
      <x:c r="L33" s="11"/>
    </x:row>
    <x:row r="34" ht="34" customHeight="1">
      <x:c r="A34" s="11"/>
      <x:c r="B34" s="11"/>
      <x:c r="C34" s="11"/>
      <x:c r="D34" s="11"/>
      <x:c r="E34" s="11"/>
      <x:c r="F34" s="11"/>
      <x:c r="G34" s="11"/>
      <x:c r="H34" s="11"/>
      <x:c r="I34" s="11"/>
      <x:c r="J34" s="11"/>
      <x:c r="K34" s="11"/>
      <x:c r="L34" s="11"/>
    </x:row>
    <x:row r="35" ht="34" customHeight="1">
      <x:c r="A35" s="11"/>
      <x:c r="B35" s="11"/>
      <x:c r="C35" s="11"/>
      <x:c r="D35" s="11"/>
      <x:c r="E35" s="11"/>
      <x:c r="F35" s="11"/>
      <x:c r="G35" s="11"/>
      <x:c r="H35" s="11"/>
      <x:c r="I35" s="11"/>
      <x:c r="J35" s="11"/>
      <x:c r="K35" s="11"/>
      <x:c r="L35" s="11"/>
    </x:row>
    <x:row r="36" ht="34" customHeight="1">
      <x:c r="A36" s="11"/>
      <x:c r="B36" s="11"/>
      <x:c r="C36" s="11"/>
      <x:c r="D36" s="11"/>
      <x:c r="E36" s="11"/>
      <x:c r="F36" s="11"/>
      <x:c r="G36" s="11"/>
      <x:c r="H36" s="11"/>
      <x:c r="I36" s="11"/>
      <x:c r="J36" s="11"/>
      <x:c r="K36" s="11"/>
      <x:c r="L36" s="11"/>
    </x:row>
    <x:row r="37" ht="34" customHeight="1">
      <x:c r="A37" s="11"/>
      <x:c r="B37" s="11"/>
      <x:c r="C37" s="11"/>
      <x:c r="D37" s="11"/>
      <x:c r="E37" s="11"/>
      <x:c r="F37" s="11"/>
      <x:c r="G37" s="11"/>
      <x:c r="H37" s="11"/>
      <x:c r="I37" s="11"/>
      <x:c r="J37" s="11"/>
      <x:c r="K37" s="11"/>
      <x:c r="L37" s="11"/>
    </x:row>
    <x:row r="38" ht="34" customHeight="1">
      <x:c r="A38" s="11"/>
      <x:c r="B38" s="11"/>
      <x:c r="C38" s="11"/>
      <x:c r="D38" s="11"/>
      <x:c r="E38" s="11"/>
      <x:c r="F38" s="11"/>
      <x:c r="G38" s="11"/>
      <x:c r="H38" s="11"/>
      <x:c r="I38" s="11"/>
      <x:c r="J38" s="11"/>
      <x:c r="K38" s="11"/>
      <x:c r="L38" s="11"/>
    </x:row>
    <x:row r="39" ht="34" customHeight="1">
      <x:c r="A39" s="11"/>
      <x:c r="B39" s="11"/>
      <x:c r="C39" s="11"/>
      <x:c r="D39" s="11"/>
      <x:c r="E39" s="11"/>
      <x:c r="F39" s="11"/>
      <x:c r="G39" s="11"/>
      <x:c r="H39" s="11"/>
      <x:c r="I39" s="11"/>
      <x:c r="J39" s="11"/>
      <x:c r="K39" s="11"/>
      <x:c r="L39" s="11"/>
    </x:row>
    <x:row r="40" ht="34" customHeight="1">
      <x:c r="A40" s="11"/>
      <x:c r="B40" s="11"/>
      <x:c r="C40" s="11"/>
      <x:c r="D40" s="11"/>
      <x:c r="E40" s="11"/>
      <x:c r="F40" s="11"/>
      <x:c r="G40" s="11"/>
      <x:c r="H40" s="11"/>
      <x:c r="I40" s="11"/>
      <x:c r="J40" s="11"/>
      <x:c r="K40" s="11"/>
      <x:c r="L40" s="11"/>
    </x:row>
    <x:row r="41" ht="34" customHeight="1">
      <x:c r="A41" s="11"/>
      <x:c r="B41" s="11"/>
      <x:c r="C41" s="11"/>
      <x:c r="D41" s="11"/>
      <x:c r="E41" s="11"/>
      <x:c r="F41" s="11"/>
      <x:c r="G41" s="11"/>
      <x:c r="H41" s="11"/>
      <x:c r="I41" s="11"/>
      <x:c r="J41" s="11"/>
      <x:c r="K41" s="11"/>
      <x:c r="L41" s="11"/>
    </x:row>
    <x:row r="42" ht="34" customHeight="1">
      <x:c r="A42" s="11"/>
      <x:c r="B42" s="11"/>
      <x:c r="C42" s="11"/>
      <x:c r="D42" s="11"/>
      <x:c r="E42" s="11"/>
      <x:c r="F42" s="11"/>
      <x:c r="G42" s="11"/>
      <x:c r="H42" s="11"/>
      <x:c r="I42" s="11"/>
      <x:c r="J42" s="11"/>
      <x:c r="K42" s="11"/>
      <x:c r="L42" s="11"/>
    </x:row>
    <x:row r="43" ht="34" customHeight="1">
      <x:c r="A43" s="11"/>
      <x:c r="B43" s="11"/>
      <x:c r="C43" s="11"/>
      <x:c r="D43" s="11"/>
      <x:c r="E43" s="11"/>
      <x:c r="F43" s="11"/>
      <x:c r="G43" s="11"/>
      <x:c r="H43" s="11"/>
      <x:c r="I43" s="11"/>
      <x:c r="J43" s="11"/>
      <x:c r="K43" s="11"/>
      <x:c r="L43" s="11"/>
    </x:row>
    <x:row r="44" ht="34" customHeight="1">
      <x:c r="A44" s="11"/>
      <x:c r="B44" s="11"/>
      <x:c r="C44" s="11"/>
      <x:c r="D44" s="11"/>
      <x:c r="E44" s="11"/>
      <x:c r="F44" s="11"/>
      <x:c r="G44" s="11"/>
      <x:c r="H44" s="11"/>
      <x:c r="I44" s="11"/>
      <x:c r="J44" s="11"/>
      <x:c r="K44" s="11"/>
      <x:c r="L44" s="11"/>
    </x:row>
    <x:row r="45" ht="34" customHeight="1">
      <x:c r="A45" s="11"/>
      <x:c r="B45" s="11"/>
      <x:c r="C45" s="11"/>
      <x:c r="D45" s="11"/>
      <x:c r="E45" s="11"/>
      <x:c r="F45" s="11"/>
      <x:c r="G45" s="11"/>
      <x:c r="H45" s="11"/>
      <x:c r="I45" s="11"/>
      <x:c r="J45" s="11"/>
      <x:c r="K45" s="11"/>
      <x:c r="L45" s="11"/>
    </x:row>
    <x:row r="46" ht="34" customHeight="1">
      <x:c r="A46" s="11"/>
      <x:c r="B46" s="11"/>
      <x:c r="C46" s="11"/>
      <x:c r="D46" s="11"/>
      <x:c r="E46" s="11"/>
      <x:c r="F46" s="11"/>
      <x:c r="G46" s="11"/>
      <x:c r="H46" s="11"/>
      <x:c r="I46" s="11"/>
      <x:c r="J46" s="11"/>
      <x:c r="K46" s="11"/>
      <x:c r="L46" s="11"/>
    </x:row>
    <x:row r="47" ht="34" customHeight="1">
      <x:c r="A47" s="11"/>
      <x:c r="B47" s="11"/>
      <x:c r="C47" s="11"/>
      <x:c r="D47" s="11"/>
      <x:c r="E47" s="11"/>
      <x:c r="F47" s="11"/>
      <x:c r="G47" s="11"/>
      <x:c r="H47" s="11"/>
      <x:c r="I47" s="11"/>
      <x:c r="J47" s="11"/>
      <x:c r="K47" s="11"/>
      <x:c r="L47" s="11"/>
    </x:row>
    <x:row r="48" ht="34" customHeight="1">
      <x:c r="A48" s="11"/>
      <x:c r="B48" s="11"/>
      <x:c r="C48" s="11"/>
      <x:c r="D48" s="11"/>
      <x:c r="E48" s="11"/>
      <x:c r="F48" s="11"/>
      <x:c r="G48" s="11"/>
      <x:c r="H48" s="11"/>
      <x:c r="I48" s="11"/>
      <x:c r="J48" s="11"/>
      <x:c r="K48" s="11"/>
      <x:c r="L48" s="11"/>
    </x:row>
    <x:row r="49" ht="34" customHeight="1">
      <x:c r="A49" s="11"/>
      <x:c r="B49" s="11"/>
      <x:c r="C49" s="11"/>
      <x:c r="D49" s="11"/>
      <x:c r="E49" s="11"/>
      <x:c r="F49" s="11"/>
      <x:c r="G49" s="11"/>
      <x:c r="H49" s="11"/>
      <x:c r="I49" s="11"/>
      <x:c r="J49" s="11"/>
      <x:c r="K49" s="11"/>
      <x:c r="L49" s="11"/>
    </x:row>
    <x:row r="50" ht="34" customHeight="1">
      <x:c r="A50" s="11"/>
      <x:c r="B50" s="11"/>
      <x:c r="C50" s="11"/>
      <x:c r="D50" s="11"/>
      <x:c r="E50" s="11"/>
      <x:c r="F50" s="11"/>
      <x:c r="G50" s="11"/>
      <x:c r="H50" s="11"/>
      <x:c r="I50" s="11"/>
      <x:c r="J50" s="11"/>
      <x:c r="K50" s="11"/>
      <x:c r="L50" s="11"/>
    </x:row>
    <x:row r="51" ht="34" customHeight="1">
      <x:c r="A51" s="11"/>
      <x:c r="B51" s="11"/>
      <x:c r="C51" s="11"/>
      <x:c r="D51" s="11"/>
      <x:c r="E51" s="11"/>
      <x:c r="F51" s="11"/>
      <x:c r="G51" s="11"/>
      <x:c r="H51" s="11"/>
      <x:c r="I51" s="11"/>
      <x:c r="J51" s="11"/>
      <x:c r="K51" s="11"/>
      <x:c r="L51" s="11"/>
    </x:row>
    <x:row r="52" ht="34" customHeight="1">
      <x:c r="A52" s="11"/>
      <x:c r="B52" s="11"/>
      <x:c r="C52" s="11"/>
      <x:c r="D52" s="11"/>
      <x:c r="E52" s="11"/>
      <x:c r="F52" s="11"/>
      <x:c r="G52" s="11"/>
      <x:c r="H52" s="11"/>
      <x:c r="I52" s="11"/>
      <x:c r="J52" s="11"/>
      <x:c r="K52" s="11"/>
      <x:c r="L52" s="11"/>
    </x:row>
    <x:row r="53" ht="34" customHeight="1">
      <x:c r="A53" s="11"/>
      <x:c r="B53" s="11"/>
      <x:c r="C53" s="11"/>
      <x:c r="D53" s="11"/>
      <x:c r="E53" s="11"/>
      <x:c r="F53" s="11"/>
      <x:c r="G53" s="11"/>
      <x:c r="H53" s="11"/>
      <x:c r="I53" s="11"/>
      <x:c r="J53" s="11"/>
      <x:c r="K53" s="11"/>
      <x:c r="L53" s="11"/>
    </x:row>
    <x:row r="54" ht="34" customHeight="1">
      <x:c r="A54" s="11"/>
      <x:c r="B54" s="11"/>
      <x:c r="C54" s="11"/>
      <x:c r="D54" s="11"/>
      <x:c r="E54" s="11"/>
      <x:c r="F54" s="11"/>
      <x:c r="G54" s="11"/>
      <x:c r="H54" s="11"/>
      <x:c r="I54" s="11"/>
      <x:c r="J54" s="11"/>
      <x:c r="K54" s="11"/>
      <x:c r="L54" s="11"/>
    </x:row>
    <x:row r="55" ht="34" customHeight="1">
      <x:c r="A55" s="11"/>
      <x:c r="B55" s="11"/>
      <x:c r="C55" s="11"/>
      <x:c r="D55" s="11"/>
      <x:c r="E55" s="11"/>
      <x:c r="F55" s="11"/>
      <x:c r="G55" s="11"/>
      <x:c r="H55" s="11"/>
      <x:c r="I55" s="11"/>
      <x:c r="J55" s="11"/>
      <x:c r="K55" s="11"/>
      <x:c r="L55" s="11"/>
    </x:row>
    <x:row r="56" ht="34" customHeight="1">
      <x:c r="A56" s="11"/>
      <x:c r="B56" s="11"/>
      <x:c r="C56" s="11"/>
      <x:c r="D56" s="11"/>
      <x:c r="E56" s="11"/>
      <x:c r="F56" s="11"/>
      <x:c r="G56" s="11"/>
      <x:c r="H56" s="11"/>
      <x:c r="I56" s="11"/>
      <x:c r="J56" s="11"/>
      <x:c r="K56" s="11"/>
      <x:c r="L56" s="11"/>
    </x:row>
    <x:row r="57" ht="34" customHeight="1">
      <x:c r="A57" s="11"/>
      <x:c r="B57" s="11"/>
      <x:c r="C57" s="11"/>
      <x:c r="D57" s="11"/>
      <x:c r="E57" s="11"/>
      <x:c r="F57" s="11"/>
      <x:c r="G57" s="11"/>
      <x:c r="H57" s="11"/>
      <x:c r="I57" s="11"/>
      <x:c r="J57" s="11"/>
      <x:c r="K57" s="11"/>
      <x:c r="L57" s="11"/>
    </x:row>
    <x:row r="58" ht="34" customHeight="1">
      <x:c r="A58" s="11"/>
      <x:c r="B58" s="11"/>
      <x:c r="C58" s="11"/>
      <x:c r="D58" s="11"/>
      <x:c r="E58" s="11"/>
      <x:c r="F58" s="11"/>
      <x:c r="G58" s="11"/>
      <x:c r="H58" s="11"/>
      <x:c r="I58" s="11"/>
      <x:c r="J58" s="11"/>
      <x:c r="K58" s="11"/>
      <x:c r="L58" s="11"/>
    </x:row>
    <x:row r="59" ht="34" customHeight="1">
      <x:c r="A59" s="11"/>
      <x:c r="B59" s="11"/>
      <x:c r="C59" s="11"/>
      <x:c r="D59" s="11"/>
      <x:c r="E59" s="11"/>
      <x:c r="F59" s="11"/>
      <x:c r="G59" s="11"/>
      <x:c r="H59" s="11"/>
      <x:c r="I59" s="11"/>
      <x:c r="J59" s="11"/>
      <x:c r="K59" s="11"/>
      <x:c r="L59" s="11"/>
    </x:row>
    <x:row r="60" ht="34" customHeight="1">
      <x:c r="A60" s="11"/>
      <x:c r="B60" s="11"/>
      <x:c r="C60" s="11"/>
      <x:c r="D60" s="11"/>
      <x:c r="E60" s="11"/>
      <x:c r="F60" s="11"/>
      <x:c r="G60" s="11"/>
      <x:c r="H60" s="11"/>
      <x:c r="I60" s="11"/>
      <x:c r="J60" s="11"/>
      <x:c r="K60" s="11"/>
      <x:c r="L60" s="11"/>
    </x:row>
    <x:row r="61" ht="34" customHeight="1">
      <x:c r="A61" s="11"/>
      <x:c r="B61" s="11"/>
      <x:c r="C61" s="11"/>
      <x:c r="D61" s="11"/>
      <x:c r="E61" s="11"/>
      <x:c r="F61" s="11"/>
      <x:c r="G61" s="11"/>
      <x:c r="H61" s="11"/>
      <x:c r="I61" s="11"/>
      <x:c r="J61" s="11"/>
      <x:c r="K61" s="11"/>
      <x:c r="L61" s="11"/>
    </x:row>
    <x:row r="62" ht="34" customHeight="1">
      <x:c r="A62" s="11"/>
      <x:c r="B62" s="11"/>
      <x:c r="C62" s="11"/>
      <x:c r="D62" s="11"/>
      <x:c r="E62" s="11"/>
      <x:c r="F62" s="11"/>
      <x:c r="G62" s="11"/>
      <x:c r="H62" s="11"/>
      <x:c r="I62" s="11"/>
      <x:c r="J62" s="11"/>
      <x:c r="K62" s="11"/>
      <x:c r="L62" s="11"/>
    </x:row>
    <x:row r="63" ht="34" customHeight="1">
      <x:c r="A63" s="11"/>
      <x:c r="B63" s="11"/>
      <x:c r="C63" s="11"/>
      <x:c r="D63" s="11"/>
      <x:c r="E63" s="11"/>
      <x:c r="F63" s="11"/>
      <x:c r="G63" s="11"/>
      <x:c r="H63" s="11"/>
      <x:c r="I63" s="11"/>
      <x:c r="J63" s="11"/>
      <x:c r="K63" s="11"/>
      <x:c r="L63" s="11"/>
    </x:row>
    <x:row r="64" ht="34" customHeight="1">
      <x:c r="A64" s="11"/>
      <x:c r="B64" s="11"/>
      <x:c r="C64" s="11"/>
      <x:c r="D64" s="11"/>
      <x:c r="E64" s="11"/>
      <x:c r="F64" s="11"/>
      <x:c r="G64" s="11"/>
      <x:c r="H64" s="11"/>
      <x:c r="I64" s="11"/>
      <x:c r="J64" s="11"/>
      <x:c r="K64" s="11"/>
      <x:c r="L64" s="11"/>
    </x:row>
    <x:row r="65" ht="34" customHeight="1">
      <x:c r="A65" s="11"/>
      <x:c r="B65" s="11"/>
      <x:c r="C65" s="11"/>
      <x:c r="D65" s="11"/>
      <x:c r="E65" s="11"/>
      <x:c r="F65" s="11"/>
      <x:c r="G65" s="11"/>
      <x:c r="H65" s="11"/>
      <x:c r="I65" s="11"/>
      <x:c r="J65" s="11"/>
      <x:c r="K65" s="11"/>
      <x:c r="L65" s="11"/>
    </x:row>
    <x:row r="66" ht="34" customHeight="1">
      <x:c r="A66" s="11"/>
      <x:c r="B66" s="11"/>
      <x:c r="C66" s="11"/>
      <x:c r="D66" s="11"/>
      <x:c r="E66" s="11"/>
      <x:c r="F66" s="11"/>
      <x:c r="G66" s="11"/>
      <x:c r="H66" s="11"/>
      <x:c r="I66" s="11"/>
      <x:c r="J66" s="11"/>
      <x:c r="K66" s="11"/>
      <x:c r="L66" s="11"/>
    </x:row>
    <x:row r="67" ht="34" customHeight="1">
      <x:c r="A67" s="11"/>
      <x:c r="B67" s="11"/>
      <x:c r="C67" s="11"/>
      <x:c r="D67" s="11"/>
      <x:c r="E67" s="11"/>
      <x:c r="F67" s="11"/>
      <x:c r="G67" s="11"/>
      <x:c r="H67" s="11"/>
      <x:c r="I67" s="11"/>
      <x:c r="J67" s="11"/>
      <x:c r="K67" s="11"/>
      <x:c r="L67" s="11"/>
    </x:row>
    <x:row r="68" ht="34" customHeight="1">
      <x:c r="A68" s="11"/>
      <x:c r="B68" s="11"/>
      <x:c r="C68" s="11"/>
      <x:c r="D68" s="11"/>
      <x:c r="E68" s="11"/>
      <x:c r="F68" s="11"/>
      <x:c r="G68" s="11"/>
      <x:c r="H68" s="11"/>
      <x:c r="I68" s="11"/>
      <x:c r="J68" s="11"/>
      <x:c r="K68" s="11"/>
      <x:c r="L68" s="11"/>
    </x:row>
    <x:row r="69" ht="34" customHeight="1">
      <x:c r="A69" s="11"/>
      <x:c r="B69" s="11"/>
      <x:c r="C69" s="11"/>
      <x:c r="D69" s="11"/>
      <x:c r="E69" s="11"/>
      <x:c r="F69" s="11"/>
      <x:c r="G69" s="11"/>
      <x:c r="H69" s="11"/>
      <x:c r="I69" s="11"/>
      <x:c r="J69" s="11"/>
      <x:c r="K69" s="11"/>
      <x:c r="L69" s="11"/>
    </x:row>
    <x:row r="70" ht="34" customHeight="1">
      <x:c r="A70" s="11"/>
      <x:c r="B70" s="11"/>
      <x:c r="C70" s="11"/>
      <x:c r="D70" s="11"/>
      <x:c r="E70" s="11"/>
      <x:c r="F70" s="11"/>
      <x:c r="G70" s="11"/>
      <x:c r="H70" s="11"/>
      <x:c r="I70" s="11"/>
      <x:c r="J70" s="11"/>
      <x:c r="K70" s="11"/>
      <x:c r="L70" s="11"/>
    </x:row>
    <x:row r="71" ht="34" customHeight="1">
      <x:c r="A71" s="11"/>
      <x:c r="B71" s="11"/>
      <x:c r="C71" s="11"/>
      <x:c r="D71" s="11"/>
      <x:c r="E71" s="11"/>
      <x:c r="F71" s="11"/>
      <x:c r="G71" s="11"/>
      <x:c r="H71" s="11"/>
      <x:c r="I71" s="11"/>
      <x:c r="J71" s="11"/>
      <x:c r="K71" s="11"/>
      <x:c r="L71" s="11"/>
    </x:row>
  </x:sheetData>
  <x:dataValidations count="1">
    <x:dataValidation type="list" sqref="J2:J71">
      <x:formula1>"待核实,待投递,已投递,笔试,面试,Offer,未通过,已结束"</x:formula1>
    </x:dataValidation>
  </x:dataValidation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3" hidden="0" customWidth="1"/>
    <x:col min="2" max="2" width="12" hidden="0" customWidth="1"/>
    <x:col min="3" max="3" width="58" hidden="0" customWidth="1"/>
    <x:col min="4" max="4" width="30" hidden="0" customWidth="1"/>
    <x:col min="5" max="5" width="67" hidden="0" customWidth="1"/>
    <x:col min="6" max="6" width="18" hidden="0" customWidth="1"/>
  </x:cols>
  <x:sheetData>
    <x:row r="1" ht="32" customHeight="1">
      <x:c r="A1" s="5" t="str">
        <x:v>模块</x:v>
      </x:c>
      <x:c r="B1" s="5" t="str">
        <x:v>方法</x:v>
      </x:c>
      <x:c r="C1" s="5" t="str">
        <x:v>标准路径/工具名</x:v>
      </x:c>
      <x:c r="D1" s="5" t="str">
        <x:v>权限</x:v>
      </x:c>
      <x:c r="E1" s="5" t="str">
        <x:v>负向测试重点</x:v>
      </x:c>
      <x:c r="F1" s="5" t="str">
        <x:v>开发阶段</x:v>
      </x:c>
    </x:row>
    <x:row r="2" ht="35" customHeight="1">
      <x:c r="A2" s="11" t="str">
        <x:v>注册</x:v>
      </x:c>
      <x:c r="B2" s="11" t="str">
        <x:v>POST</x:v>
      </x:c>
      <x:c r="C2" s="11" t="str">
        <x:v>/api/v1/auth/register</x:v>
      </x:c>
      <x:c r="D2" s="11" t="str">
        <x:v>公开</x:v>
      </x:c>
      <x:c r="E2" s="11" t="str">
        <x:v>密码哈希/重复账号409</x:v>
      </x:c>
      <x:c r="F2" s="11" t="str">
        <x:v>W04</x:v>
      </x:c>
    </x:row>
    <x:row r="3" ht="35" customHeight="1">
      <x:c r="A3" s="11" t="str">
        <x:v>登录</x:v>
      </x:c>
      <x:c r="B3" s="11" t="str">
        <x:v>POST</x:v>
      </x:c>
      <x:c r="C3" s="11" t="str">
        <x:v>/api/v1/auth/login</x:v>
      </x:c>
      <x:c r="D3" s="11" t="str">
        <x:v>公开</x:v>
      </x:c>
      <x:c r="E3" s="11" t="str">
        <x:v>过期/伪造令牌401</x:v>
      </x:c>
      <x:c r="F3" s="11" t="str">
        <x:v>W04</x:v>
      </x:c>
    </x:row>
    <x:row r="4" ht="35" customHeight="1">
      <x:c r="A4" s="11" t="str">
        <x:v>商品查询</x:v>
      </x:c>
      <x:c r="B4" s="11" t="str">
        <x:v>GET</x:v>
      </x:c>
      <x:c r="C4" s="11" t="str">
        <x:v>/api/v1/products/{id}</x:v>
      </x:c>
      <x:c r="D4" s="11" t="str">
        <x:v>公开</x:v>
      </x:c>
      <x:c r="E4" s="11" t="str">
        <x:v>404/上下架/分页</x:v>
      </x:c>
      <x:c r="F4" s="11" t="str">
        <x:v>W02-03</x:v>
      </x:c>
    </x:row>
    <x:row r="5" ht="35" customHeight="1">
      <x:c r="A5" s="11" t="str">
        <x:v>商品管理</x:v>
      </x:c>
      <x:c r="B5" s="11" t="str">
        <x:v>POST</x:v>
      </x:c>
      <x:c r="C5" s="11" t="str">
        <x:v>/api/v1/admin/products</x:v>
      </x:c>
      <x:c r="D5" s="11" t="str">
        <x:v>ADMIN</x:v>
      </x:c>
      <x:c r="E5" s="11" t="str">
        <x:v>非法价格400/角色拒绝</x:v>
      </x:c>
      <x:c r="F5" s="11" t="str">
        <x:v>W03-05</x:v>
      </x:c>
    </x:row>
    <x:row r="6" ht="35" customHeight="1">
      <x:c r="A6" s="11" t="str">
        <x:v>加购物车</x:v>
      </x:c>
      <x:c r="B6" s="11" t="str">
        <x:v>POST</x:v>
      </x:c>
      <x:c r="C6" s="11" t="str">
        <x:v>/api/v1/cart/items</x:v>
      </x:c>
      <x:c r="D6" s="11" t="str">
        <x:v>USER本人</x:v>
      </x:c>
      <x:c r="E6" s="11" t="str">
        <x:v>不可操作其他用户购物车</x:v>
      </x:c>
      <x:c r="F6" s="11" t="str">
        <x:v>W06</x:v>
      </x:c>
    </x:row>
    <x:row r="7" ht="35" customHeight="1">
      <x:c r="A7" s="11" t="str">
        <x:v>下单</x:v>
      </x:c>
      <x:c r="B7" s="11" t="str">
        <x:v>POST</x:v>
      </x:c>
      <x:c r="C7" s="11" t="str">
        <x:v>/api/v1/orders</x:v>
      </x:c>
      <x:c r="D7" s="11" t="str">
        <x:v>USER本人</x:v>
      </x:c>
      <x:c r="E7" s="11" t="str">
        <x:v>事务/条件扣减/Idempotency-Key</x:v>
      </x:c>
      <x:c r="F7" s="11" t="str">
        <x:v>W07-08</x:v>
      </x:c>
    </x:row>
    <x:row r="8" ht="35" customHeight="1">
      <x:c r="A8" s="11" t="str">
        <x:v>订单取消</x:v>
      </x:c>
      <x:c r="B8" s="11" t="str">
        <x:v>POST</x:v>
      </x:c>
      <x:c r="C8" s="11" t="str">
        <x:v>/api/v1/orders/{id}/cancel</x:v>
      </x:c>
      <x:c r="D8" s="11" t="str">
        <x:v>USER本人</x:v>
      </x:c>
      <x:c r="E8" s="11" t="str">
        <x:v>重复取消/支付竞争</x:v>
      </x:c>
      <x:c r="F8" s="11" t="str">
        <x:v>W10</x:v>
      </x:c>
    </x:row>
    <x:row r="9" ht="35" customHeight="1">
      <x:c r="A9" s="11" t="str">
        <x:v>模拟支付</x:v>
      </x:c>
      <x:c r="B9" s="11" t="str">
        <x:v>POST</x:v>
      </x:c>
      <x:c r="C9" s="11" t="str">
        <x:v>/api/v1/mock-payments</x:v>
      </x:c>
      <x:c r="D9" s="11" t="str">
        <x:v>USER本人</x:v>
      </x:c>
      <x:c r="E9" s="11" t="str">
        <x:v>仅演示/签名和幂等</x:v>
      </x:c>
      <x:c r="F9" s="11" t="str">
        <x:v>W09</x:v>
      </x:c>
    </x:row>
    <x:row r="10" ht="35" customHeight="1">
      <x:c r="A10" s="11" t="str">
        <x:v>售后工单</x:v>
      </x:c>
      <x:c r="B10" s="11" t="str">
        <x:v>POST</x:v>
      </x:c>
      <x:c r="C10" s="11" t="str">
        <x:v>/api/v1/after-sales</x:v>
      </x:c>
      <x:c r="D10" s="11" t="str">
        <x:v>USER本人</x:v>
      </x:c>
      <x:c r="E10" s="11" t="str">
        <x:v>对象级鉴权/客服审核</x:v>
      </x:c>
      <x:c r="F10" s="11" t="str">
        <x:v>W10</x:v>
      </x:c>
    </x:row>
    <x:row r="11" ht="35" customHeight="1">
      <x:c r="A11" s="11" t="str">
        <x:v>AI聊天</x:v>
      </x:c>
      <x:c r="B11" s="11" t="str">
        <x:v>POST</x:v>
      </x:c>
      <x:c r="C11" s="11" t="str">
        <x:v>/api/v1/ai/chat</x:v>
      </x:c>
      <x:c r="D11" s="11" t="str">
        <x:v>USER</x:v>
      </x:c>
      <x:c r="E11" s="11" t="str">
        <x:v>RAG引用/限额/降级</x:v>
      </x:c>
      <x:c r="F11" s="11" t="str">
        <x:v>W19-22</x:v>
      </x:c>
    </x:row>
    <x:row r="12" ht="35" customHeight="1">
      <x:c r="A12" s="11" t="str">
        <x:v>SSE聊天</x:v>
      </x:c>
      <x:c r="B12" s="11" t="str">
        <x:v>POST</x:v>
      </x:c>
      <x:c r="C12" s="11" t="str">
        <x:v>/api/v1/ai/chat/stream</x:v>
      </x:c>
      <x:c r="D12" s="11" t="str">
        <x:v>USER</x:v>
      </x:c>
      <x:c r="E12" s="11" t="str">
        <x:v>断连清理/会话隔离</x:v>
      </x:c>
      <x:c r="F12" s="11" t="str">
        <x:v>W20</x:v>
      </x:c>
    </x:row>
    <x:row r="13" ht="35" customHeight="1">
      <x:c r="A13" s="11" t="str">
        <x:v>查我的订单</x:v>
      </x:c>
      <x:c r="B13" s="11" t="str">
        <x:v>Tool</x:v>
      </x:c>
      <x:c r="C13" s="11" t="str">
        <x:v>getMyOrderStatus(orderId)</x:v>
      </x:c>
      <x:c r="D13" s="11" t="str">
        <x:v>后台绑定可信主体</x:v>
      </x:c>
      <x:c r="E13" s="11" t="str">
        <x:v>无userId参数/越权硬拒绝</x:v>
      </x:c>
      <x:c r="F13" s="11" t="str">
        <x:v>W23</x:v>
      </x:c>
    </x:row>
    <x:row r="14" ht="35" customHeight="1">
      <x:c r="A14" s="11" t="str">
        <x:v>AI工单草稿</x:v>
      </x:c>
      <x:c r="B14" s="11" t="str">
        <x:v>POST</x:v>
      </x:c>
      <x:c r="C14" s="11" t="str">
        <x:v>/api/v1/support/tickets/{id}/ai-suggestion</x:v>
      </x:c>
      <x:c r="D14" s="11" t="str">
        <x:v>SUPPORT</x:v>
      </x:c>
      <x:c r="E14" s="11" t="str">
        <x:v>草稿需人工审核</x:v>
      </x:c>
      <x:c r="F14" s="11" t="str">
        <x:v>W26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33" hidden="0" customWidth="1"/>
    <x:col min="2" max="2" width="105" hidden="0" customWidth="1"/>
    <x:col min="3" max="3" width="90" hidden="0" customWidth="1"/>
  </x:cols>
  <x:sheetData>
    <x:row r="1" ht="32" customHeight="1">
      <x:c r="A1" s="5" t="str">
        <x:v>主题</x:v>
      </x:c>
      <x:c r="B1" s="5" t="str">
        <x:v>文件/官方URL</x:v>
      </x:c>
      <x:c r="C1" s="5" t="str">
        <x:v>使用理由/政策</x:v>
      </x:c>
    </x:row>
    <x:row r="2" ht="33" customHeight="1">
      <x:c r="A2" s="11" t="str">
        <x:v>开发手册v2.0</x:v>
      </x:c>
      <x:c r="B2" s="11" t="str">
        <x:v>SmartCommerce_AI_v2_Development_Manual_238_Days.md</x:v>
      </x:c>
      <x:c r="C2" s="11" t="str">
        <x:v>同ID开发合同/真实业务/故障/评测</x:v>
      </x:c>
    </x:row>
    <x:row r="3" ht="33" customHeight="1">
      <x:c r="A3" s="11" t="str">
        <x:v>项目执行机制</x:v>
      </x:c>
      <x:c r="B3" s="11" t="str">
        <x:v>总览/238天开发工单/34周里程碑</x:v>
      </x:c>
      <x:c r="C3" s="11" t="str">
        <x:v>按PR+测试证据而非只按状态计完成</x:v>
      </x:c>
    </x:row>
    <x:row r="4" ht="33" customHeight="1">
      <x:c r="A4" s="11" t="str">
        <x:v>项目预算</x:v>
      </x:c>
      <x:c r="B4" s="11" t="str">
        <x:v>340h项目 + 102h算法 + 68h基础 + 102h缓冲/求职</x:v>
      </x:c>
      <x:c r="C4" s="11" t="str">
        <x:v>全年总规划612h，不是必须实际消耗</x:v>
      </x:c>
    </x:row>
    <x:row r="5" ht="33" customHeight="1">
      <x:c r="A5" s="11" t="str">
        <x:v>Spring AI</x:v>
      </x:c>
      <x:c r="B5" s="11" t="str">
        <x:v>https://docs.spring.io/spring-ai/reference/index.html</x:v>
      </x:c>
      <x:c r="C5" s="11" t="str">
        <x:v>开工确认Spring Boot/Spring AI兼容性</x:v>
      </x:c>
    </x:row>
    <x:row r="6" ht="33" customHeight="1">
      <x:c r="A6" s="11" t="str">
        <x:v>Spring AI RAG</x:v>
      </x:c>
      <x:c r="B6" s="11" t="str">
        <x:v>https://docs.spring.io/spring-ai/reference/api/retrieval-augmented-generation.html</x:v>
      </x:c>
      <x:c r="C6" s="11" t="str">
        <x:v>RAG评测与检索</x:v>
      </x:c>
    </x:row>
    <x:row r="7" ht="33" customHeight="1">
      <x:c r="A7" s="11" t="str">
        <x:v>Spring AI Tools</x:v>
      </x:c>
      <x:c r="B7" s="11" t="str">
        <x:v>https://docs.spring.io/spring-ai/reference/api/tools.html</x:v>
      </x:c>
      <x:c r="C7" s="11" t="str">
        <x:v>Tool Calling和工具授权</x:v>
      </x:c>
    </x:row>
    <x:row r="8" ht="33" customHeight="1">
      <x:c r="A8" s="11" t="str">
        <x:v>Spring Modulith</x:v>
      </x:c>
      <x:c r="B8" s="11" t="str">
        <x:v>https://docs.spring.io/spring-modulith/reference/verification.html</x:v>
      </x:c>
      <x:c r="C8" s="11" t="str">
        <x:v>模块依赖校验，可用ArchUnit代替</x:v>
      </x:c>
    </x:row>
    <x:row r="9" ht="33" customHeight="1">
      <x:c r="A9" s="11" t="str">
        <x:v>OWASP GenAI 2026</x:v>
      </x:c>
      <x:c r="B9" s="11" t="str">
        <x:v>https://github.com/GenAI-Security-Project/GenAI-LLM-Top10</x:v>
      </x:c>
      <x:c r="C9" s="11" t="str">
        <x:v>2026版威胁清单</x:v>
      </x:c>
    </x:row>
    <x:row r="10" ht="33" customHeight="1">
      <x:c r="A10" s="11" t="str">
        <x:v>Spring Boot Testcontainers</x:v>
      </x:c>
      <x:c r="B10" s="11" t="str">
        <x:v>https://docs.spring.io/spring-boot/reference/testing/testcontainers.html</x:v>
      </x:c>
      <x:c r="C10" s="11" t="str">
        <x:v>使用真实DB容器的集成测试</x:v>
      </x:c>
    </x:row>
    <x:row r="11" ht="33" customHeight="1">
      <x:c r="A11" s="11" t="str">
        <x:v>Flyway</x:v>
      </x:c>
      <x:c r="B11" s="11" t="str">
        <x:v>https://documentation.red-gate.com/fd/migrations-271585107.html</x:v>
      </x:c>
      <x:c r="C11" s="11" t="str">
        <x:v>数据库迁移与发布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36" hidden="0" customWidth="1"/>
    <x:col min="3" max="3" width="43" hidden="0" customWidth="1"/>
    <x:col min="4" max="4" width="66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</x:cols>
  <x:sheetData>
    <x:row r="1" ht="26" customHeight="1">
      <x:c r="A1" s="27" t="str">
        <x:v>SMARTCOMMERCE AI  ·  v2.0 项目开发看板</x:v>
      </x:c>
      <x:c r="B1" s="27"/>
      <x:c r="C1" s="27"/>
      <x:c r="D1" s="27"/>
      <x:c r="E1" s="27"/>
      <x:c r="F1" s="27"/>
      <x:c r="G1" s="27"/>
      <x:c r="H1" s="27"/>
    </x:row>
    <x:row r="2" ht="26" customHeight="1">
      <x:c r="A2" s="27"/>
      <x:c r="B2" s="27"/>
      <x:c r="C2" s="27"/>
      <x:c r="D2" s="27"/>
      <x:c r="E2" s="27"/>
      <x:c r="F2" s="27"/>
      <x:c r="G2" s="27"/>
      <x:c r="H2" s="27"/>
    </x:row>
    <x:row r="4" ht="29" customHeight="1">
      <x:c r="A4" s="36" t="str">
        <x:v>项目开始</x:v>
      </x:c>
      <x:c r="B4" t="str">
        <x:v>2026-11-02</x:v>
      </x:c>
      <x:c r="C4" s="36" t="str">
        <x:v>项目结束</x:v>
      </x:c>
      <x:c r="D4" t="str">
        <x:v>2027-06-27</x:v>
      </x:c>
    </x:row>
    <x:row r="5" ht="29" customHeight="1">
      <x:c r="A5" s="36" t="str">
        <x:v>周数</x:v>
      </x:c>
      <x:c r="B5" t="n">
        <x:v>34</x:v>
      </x:c>
      <x:c r="C5" s="36" t="str">
        <x:v>主工单数</x:v>
      </x:c>
      <x:c r="D5" t="n">
        <x:v>238</x:v>
      </x:c>
    </x:row>
    <x:row r="6" ht="29" customHeight="1">
      <x:c r="A6" s="36" t="str">
        <x:v>项目预算h</x:v>
      </x:c>
      <x:c r="B6" t="n">
        <x:v>340</x:v>
      </x:c>
      <x:c r="C6" s="36" t="str">
        <x:v>算法/基础/缓冲h</x:v>
      </x:c>
      <x:c r="D6" t="n">
        <x:v>272</x:v>
      </x:c>
    </x:row>
    <x:row r="8" ht="27" customHeight="1">
      <x:c r="A8" s="31" t="str">
        <x:v>有效验收工单</x:v>
      </x:c>
      <x:c r="B8" s="31" t="str">
        <x:v>完成比例</x:v>
      </x:c>
      <x:c r="C8" s="31" t="str">
        <x:v>Must有效完成</x:v>
      </x:c>
      <x:c r="D8" s="31" t="str">
        <x:v>未通过/阻塞工单</x:v>
      </x:c>
    </x:row>
    <x:row r="9">
      <x:c r="A9" t="n">
        <x:f>COUNTIF('238天开发工单'!$S$2:$S$239,"可计入")</x:f>
        <x:v>0</x:v>
      </x:c>
      <x:c r="B9" s="34" t="n">
        <x:f>A9/238</x:f>
        <x:v>0</x:v>
      </x:c>
      <x:c r="C9" t="n">
        <x:f>COUNTIFS('238天开发工单'!$F$2:$F$239,"Must",'238天开发工单'!$S$2:$S$239,"可计入")</x:f>
        <x:v>0</x:v>
      </x:c>
      <x:c r="D9" t="n">
        <x:f>COUNTIF('238天开发工单'!$O$2:$O$239,"已阻塞")+COUNTIF('238天开发工单'!$P$2:$P$239,"不通过")</x:f>
        <x:v>0</x:v>
      </x:c>
    </x:row>
    <x:row r="11">
      <x:c r="A11" t="str">
        <x:v>实际项目工时</x:v>
      </x:c>
      <x:c r="B11" t="str">
        <x:v>预留就业/返工工时</x:v>
      </x:c>
    </x:row>
    <x:row r="12">
      <x:c r="A12" t="n">
        <x:f>SUM('238天开发工单'!$N$2:$N$239)</x:f>
        <x:v>0</x:v>
      </x:c>
      <x:c r="B12" t="n">
        <x:v>102</x:v>
      </x:c>
    </x:row>
    <x:row r="14" ht="28" customHeight="1">
      <x:c r="A14" s="31" t="str">
        <x:v>里程碑</x:v>
      </x:c>
      <x:c r="B14" s="31" t="str">
        <x:v>目标时点</x:v>
      </x:c>
      <x:c r="C14" s="31" t="str">
        <x:v>上线门禁</x:v>
      </x:c>
      <x:c r="D14" s="31" t="str">
        <x:v>请勿遗漏</x:v>
      </x:c>
    </x:row>
    <x:row r="15" ht="45" customHeight="1">
      <x:c r="A15" s="10" t="str">
        <x:v>Java后端MVP</x:v>
      </x:c>
      <x:c r="B15" s="10" t="str">
        <x:v>2027年2月</x:v>
      </x:c>
      <x:c r="C15" s="10" t="str">
        <x:v>交易无阻塞性缺陷；CI与部署通过</x:v>
      </x:c>
      <x:c r="D15" s="10" t="str">
        <x:v>公告开放后先投实习，不等待AI完成</x:v>
      </x:c>
    </x:row>
    <x:row r="16" ht="45" customHeight="1">
      <x:c r="A16" s="10" t="str">
        <x:v>AI可信应用</x:v>
      </x:c>
      <x:c r="B16" s="10" t="str">
        <x:v>2027年4月</x:v>
      </x:c>
      <x:c r="C16" s="10" t="str">
        <x:v>RAG可追溯/Tool硬鉴权/评测留证据</x:v>
      </x:c>
      <x:c r="D16" s="10" t="str">
        <x:v>禁止LLM直接更改订单/退款</x:v>
      </x:c>
    </x:row>
    <x:row r="17" ht="45" customHeight="1">
      <x:c r="A17" s="10" t="str">
        <x:v>工程质量v1.0</x:v>
      </x:c>
      <x:c r="B17" s="10" t="str">
        <x:v>2027年6月</x:v>
      </x:c>
      <x:c r="C17" s="10" t="str">
        <x:v>测试/演练/回滚/README可复现</x:v>
      </x:c>
      <x:c r="D17" s="10" t="str">
        <x:v>无虚构QPS、在线用户或企业业绩</x:v>
      </x:c>
    </x:row>
    <x:row r="19">
      <x:c r="A19" s="36" t="str">
        <x:v>执行说明</x:v>
      </x:c>
    </x:row>
    <x:row r="20" ht="32" customHeight="1">
      <x:c r="A20" s="10" t="str">
        <x:v>1. 本版继续保留238个主ID，任务内容与MD逐项同步；每天不是都要新增功能。</x:v>
      </x:c>
      <x:c r="B20" s="10"/>
      <x:c r="C20" s="10"/>
      <x:c r="D20" s="10"/>
      <x:c r="E20" s="10"/>
      <x:c r="F20" s="10"/>
      <x:c r="G20" s="10"/>
      <x:c r="H20" s="10"/>
    </x:row>
    <x:row r="21" ht="32" customHeight="1">
      <x:c r="A21" s="10" t="str">
        <x:v>2. 只有“开发状态=已完成 + 验收结论=通过 + PR路径及测试证据均非空”才计入完成率。</x:v>
      </x:c>
      <x:c r="B21" s="10"/>
      <x:c r="C21" s="10"/>
      <x:c r="D21" s="10"/>
      <x:c r="E21" s="10"/>
      <x:c r="F21" s="10"/>
      <x:c r="G21" s="10"/>
      <x:c r="H21" s="10"/>
    </x:row>
    <x:row r="22" ht="32" customHeight="1">
      <x:c r="A22" s="10" t="str">
        <x:v>3. 每周10h用于项目，算法3h、基础2h、缓冲/求职3h在「34周并行训练」记录。</x:v>
      </x:c>
      <x:c r="B22" s="10"/>
      <x:c r="C22" s="10"/>
      <x:c r="D22" s="10"/>
      <x:c r="E22" s="10"/>
      <x:c r="F22" s="10"/>
      <x:c r="G22" s="10"/>
      <x:c r="H22" s="10"/>
    </x:row>
    <x:row r="23" ht="32" customHeight="1">
      <x:c r="A23" s="10" t="str">
        <x:v>4. P0/P1/P2原始阶段改为Phase-01到Phase-34；Must/Should/Could是任务重要性。</x:v>
      </x:c>
      <x:c r="B23" s="10"/>
      <x:c r="C23" s="10"/>
      <x:c r="D23" s="10"/>
      <x:c r="E23" s="10"/>
      <x:c r="F23" s="10"/>
      <x:c r="G23" s="10"/>
      <x:c r="H23" s="10"/>
    </x:row>
    <x:row r="24" ht="32" customHeight="1">
      <x:c r="A24" s="10" t="str">
        <x:v>5. 不能为了赶日期跳过库存、幂等、越权、消息或AI工具安全测试。</x:v>
      </x:c>
      <x:c r="B24" s="10"/>
      <x:c r="C24" s="10"/>
      <x:c r="D24" s="10"/>
      <x:c r="E24" s="10"/>
      <x:c r="F24" s="10"/>
      <x:c r="G24" s="10"/>
      <x:c r="H24" s="10"/>
    </x:row>
    <x:row r="25" ht="32" customHeight="1">
      <x:c r="A25" s="10" t="str">
        <x:v>6. MCP和多模型等为可选，2027年实习投递优先于扩功能。</x:v>
      </x:c>
      <x:c r="B25" s="10"/>
      <x:c r="C25" s="10"/>
      <x:c r="D25" s="10"/>
      <x:c r="E25" s="10"/>
      <x:c r="F25" s="10"/>
      <x:c r="G25" s="10"/>
      <x:c r="H25" s="10"/>
    </x:row>
  </x:sheetData>
  <x:mergeCells>
    <x:mergeCell ref="A1:H2"/>
  </x:mergeCells>
  <x:conditionalFormatting sqref="B9:B9">
    <x:cfRule type="dataBar" priority="1">
      <x:dataBar>
        <x:cfvo type="min"/>
        <x:cfvo type="max"/>
        <x:color rgb="FF0F766E"/>
      </x:dataBar>
      <x:extLst>
        <x:ext xmlns:x14="http://schemas.microsoft.com/office/spreadsheetml/2009/9/main" uri="{B025F937-C7B1-47D3-B67F-A62EFF666E3E}">
          <x14:id>{37C2C026-7885-D3F2-FC4B-2609F049E9EA}</x14:id>
        </x:ext>
      </x:extLst>
    </x:cfRule>
  </x:conditionalFormatting>
  <x:pageMargins left="0.7" right="0.7" top="0.75" bottom="0.75" header="0.3" footer="0.3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37C2C026-7885-D3F2-FC4B-2609F049E9EA}">
            <x14:dataBar gradient="1">
              <x14:cfvo type="min"/>
              <x14:cfvo type="max"/>
              <x14:fillColor rgb="FF0F766E"/>
            </x14:dataBar>
          </x14:cfRule>
          <xm:sqref>B9:B9</xm:sqref>
        </x14:conditionalFormatting>
      </x14:conditionalFormattings>
    </x:ext>
  </x:extLst>
</x:worksheet>
</file>